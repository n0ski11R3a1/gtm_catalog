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545f34d5bc7da77/GTM ERP/ERP/2026/ERP/"/>
    </mc:Choice>
  </mc:AlternateContent>
  <xr:revisionPtr revIDLastSave="408" documentId="13_ncr:1_{5114C280-0BBA-46EB-B500-221981E23415}" xr6:coauthVersionLast="47" xr6:coauthVersionMax="47" xr10:uidLastSave="{E8BA3454-731A-418E-A943-DAD228E88412}"/>
  <bookViews>
    <workbookView xWindow="-120" yWindow="-120" windowWidth="20730" windowHeight="11040" activeTab="1" xr2:uid="{00000000-000D-0000-FFFF-FFFF00000000}"/>
  </bookViews>
  <sheets>
    <sheet name="Overview Dashboard" sheetId="1" r:id="rId1"/>
    <sheet name="Product Catalog" sheetId="4" r:id="rId2"/>
    <sheet name="Old Product Catalog" sheetId="2" state="hidden" r:id="rId3"/>
  </sheets>
  <definedNames>
    <definedName name="_xlnm._FilterDatabase" localSheetId="2" hidden="1">'Old Product Catalog'!$B$1:$F$197</definedName>
    <definedName name="_xlnm.Print_Titles" localSheetId="2">'Old Product Catalog'!$1:$1</definedName>
    <definedName name="_xlnm.Print_Titles" localSheetId="1">'Product Catalog'!$1:$1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4" i="1"/>
  <c r="B14" i="1"/>
  <c r="E27" i="2"/>
  <c r="F103" i="2"/>
  <c r="B11" i="1" l="1"/>
  <c r="B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46044-A6D7-4F1B-8F78-CADF61560619}" keepAlive="1" name="Query - deepseek_csv_20260722_4339ac" description="Connection to the 'deepseek_csv_20260722_4339ac' query in the workbook." type="5" refreshedVersion="0" background="1" saveData="1">
    <dbPr connection="Provider=Microsoft.Mashup.OleDb.1;Data Source=$Workbook$;Location=deepseek_csv_20260722_4339ac;Extended Properties=&quot;&quot;" command="SELECT * FROM [deepseek_csv_20260722_4339ac]"/>
  </connection>
</connections>
</file>

<file path=xl/sharedStrings.xml><?xml version="1.0" encoding="utf-8"?>
<sst xmlns="http://schemas.openxmlformats.org/spreadsheetml/2006/main" count="2079" uniqueCount="615">
  <si>
    <t>MASTER PRODUCT CATALOG OVERVIEW</t>
  </si>
  <si>
    <t>Category</t>
  </si>
  <si>
    <t>Total Items</t>
  </si>
  <si>
    <t>Cigarettes</t>
  </si>
  <si>
    <t>Food &amp; Snacks</t>
  </si>
  <si>
    <t>Beverages</t>
  </si>
  <si>
    <t>Baby &amp; Health</t>
  </si>
  <si>
    <t>Personal Care</t>
  </si>
  <si>
    <t>Household</t>
  </si>
  <si>
    <t>Miscellaneous</t>
  </si>
  <si>
    <t>Total Products</t>
  </si>
  <si>
    <t>Global Red</t>
  </si>
  <si>
    <t>တောင့်</t>
  </si>
  <si>
    <t>Napoli Blue</t>
  </si>
  <si>
    <t>Napoli Red</t>
  </si>
  <si>
    <t>Napoli Gold (ML)</t>
  </si>
  <si>
    <t>Napoli Silver (ML)</t>
  </si>
  <si>
    <t>Napoli Gold Taxpaid (Copy)</t>
  </si>
  <si>
    <t>Napoli Silver Taxpaid (Copy)</t>
  </si>
  <si>
    <t>Napoli Gold Taxpaid (Old)</t>
  </si>
  <si>
    <t>Napoli Silver Taxpaid (Old)</t>
  </si>
  <si>
    <t>Black Fox Chocolate</t>
  </si>
  <si>
    <t>Black Fox Strawberry</t>
  </si>
  <si>
    <t>Double Happiness သံဗူးဝါ</t>
  </si>
  <si>
    <t>Double Happiness သံဗူးနီ</t>
  </si>
  <si>
    <t>Dunhill အနီအစစ်</t>
  </si>
  <si>
    <t>Marlboro Gold ©</t>
  </si>
  <si>
    <t>Marlboro Red ©</t>
  </si>
  <si>
    <t>XSO Chocolate</t>
  </si>
  <si>
    <t>ခပေါင်း လက်သစ်</t>
  </si>
  <si>
    <t>ခပေါင်း လက်ဟောင်း</t>
  </si>
  <si>
    <t>စီး</t>
  </si>
  <si>
    <t>ရှမ်းကြီး ငပိလက်ဖက်ထောင်း</t>
  </si>
  <si>
    <t>တွဲ</t>
  </si>
  <si>
    <t>ရှယ်စား ရခိုင်ငပိလက်ဖက်ထောင်း</t>
  </si>
  <si>
    <t>A1-အိုင်အိုဒင်းဆား</t>
  </si>
  <si>
    <t>ထုပ်</t>
  </si>
  <si>
    <t>ခနောကြက်သားမှုန့် 400g</t>
  </si>
  <si>
    <t>ခနောကြက်သားမှုန့် 800g</t>
  </si>
  <si>
    <t>ဖာ</t>
  </si>
  <si>
    <t>စိုးစံ မဆလာ</t>
  </si>
  <si>
    <t>ပုဇွန်ထမ်းငံပြာရည်ပုလင်း 700ML</t>
  </si>
  <si>
    <t>ပုလင်း</t>
  </si>
  <si>
    <t>Goody အချိုမှုန့် 250g</t>
  </si>
  <si>
    <t>ပါကင်</t>
  </si>
  <si>
    <t>Lucky ကြက်ဥခေါက်ဆွဲ 650g</t>
  </si>
  <si>
    <t>Lucky ကြက်ဥခေါက်ဆွဲ 325g</t>
  </si>
  <si>
    <t>Arno Corn Snack</t>
  </si>
  <si>
    <t>Arno Tomatoes Snack</t>
  </si>
  <si>
    <t>Arno BBQ Snack</t>
  </si>
  <si>
    <t>Malkist ချောကလက်</t>
  </si>
  <si>
    <t>Malkist ချိစ်</t>
  </si>
  <si>
    <t>Coffee Dreamy 1Kg</t>
  </si>
  <si>
    <t>Hotdog အသေးအစပ်</t>
  </si>
  <si>
    <t>တရုတ်ပီကေ မာလကာ</t>
  </si>
  <si>
    <t>ဗူး</t>
  </si>
  <si>
    <t>တရုတ်ပီကေ ပူစီနံ</t>
  </si>
  <si>
    <t>တရုတ်ပီကေ စတော်ဘယ်ရီ</t>
  </si>
  <si>
    <t>တရုတ်ပီကေ ဖရဲ</t>
  </si>
  <si>
    <t>တရုတ်ပီကေ လိမ္မော်</t>
  </si>
  <si>
    <t>2+1 Cake ချောကလက်</t>
  </si>
  <si>
    <t>2+1 Cake ကန်စွန်းဥ</t>
  </si>
  <si>
    <t>2+1 Cake သရက်</t>
  </si>
  <si>
    <t>2+1 Cake စတော်ဘယ်ရီ</t>
  </si>
  <si>
    <t>2+1 Cake ဘလူးဘယ်ရီ</t>
  </si>
  <si>
    <t>Super Star ချောကလက်ဝေဖာ</t>
  </si>
  <si>
    <t>Xylitol ပီကေ(အစိမ်း)</t>
  </si>
  <si>
    <t>ကဒ်</t>
  </si>
  <si>
    <t>Xylitol ပီကေ(အပြာ)</t>
  </si>
  <si>
    <t>ရေညှိ ဘီစကစ်</t>
  </si>
  <si>
    <t>Nabati</t>
  </si>
  <si>
    <t>Top Herbs ဘီစကစ်</t>
  </si>
  <si>
    <t>Bounce ဘီစကစ်-Orange Creme</t>
  </si>
  <si>
    <t>Bounce ဘီစကစ်-Choco Creme</t>
  </si>
  <si>
    <t>Parle G အိန္ဒိယ ဘီစကစ်</t>
  </si>
  <si>
    <t>Doodh အိန္ဒိယ ဘီစကစ်</t>
  </si>
  <si>
    <t>Gummy Jeely Candy</t>
  </si>
  <si>
    <t>Kalpa ဝေဖာ</t>
  </si>
  <si>
    <t>Hide &amp; Seek</t>
  </si>
  <si>
    <t>Beng Beng ချောကလက်ဝေဖာ</t>
  </si>
  <si>
    <t>Gery ချောကလက်ဝေဖာ</t>
  </si>
  <si>
    <t>Bourbon Bisuit</t>
  </si>
  <si>
    <t>Milo 110g</t>
  </si>
  <si>
    <t>Speed</t>
  </si>
  <si>
    <t>Asia</t>
  </si>
  <si>
    <t>Royal D</t>
  </si>
  <si>
    <t>Shark</t>
  </si>
  <si>
    <t>Carabao</t>
  </si>
  <si>
    <t>Power Plus</t>
  </si>
  <si>
    <t>Cola</t>
  </si>
  <si>
    <t>Lipo</t>
  </si>
  <si>
    <t>Royal D အထုပ် (Thai)</t>
  </si>
  <si>
    <t>Little Miss ဘလူးဘယ်ရီ</t>
  </si>
  <si>
    <t>Little Miss စတော်ဘယ်ရီ</t>
  </si>
  <si>
    <t>Little Miss လိမ္မော်</t>
  </si>
  <si>
    <t>Little Miss သီးစုံ</t>
  </si>
  <si>
    <t>Brand ဌက်သိုက်ကြီး</t>
  </si>
  <si>
    <t>Brand ဌက်သိုက်သေး</t>
  </si>
  <si>
    <t>Brand ကြက်ပေါင်းကြီး</t>
  </si>
  <si>
    <t>Brand ကြက်ပေါင်းသေး</t>
  </si>
  <si>
    <t>Dumex Dupro 1</t>
  </si>
  <si>
    <t>Dumex Dupro 2</t>
  </si>
  <si>
    <t>Ensure Gold 800g</t>
  </si>
  <si>
    <t>Ensure Gold 380g</t>
  </si>
  <si>
    <t>Glucena SR</t>
  </si>
  <si>
    <t>Super Kiddy Diaper</t>
  </si>
  <si>
    <t>အိတ်</t>
  </si>
  <si>
    <t>H&amp;S Shampoo 450 ML (2 ဗူးတွဲထုပ်)</t>
  </si>
  <si>
    <t>Clear Shampoo 410 ML (2 ဗူးတွဲထုပ်)</t>
  </si>
  <si>
    <t>Thai Shampoo</t>
  </si>
  <si>
    <t>De Leaf Shower</t>
  </si>
  <si>
    <t>Dent သွားတိုက်ဆေး</t>
  </si>
  <si>
    <t>Vixol ကြွေဆေးရည် (၃ ဗူးပါ)</t>
  </si>
  <si>
    <t>Snow Towel</t>
  </si>
  <si>
    <t>Bamboo သွားတိုက်ဆေး 150g</t>
  </si>
  <si>
    <t>Bamboo သွားတိုက်ဆေး 100g</t>
  </si>
  <si>
    <t>Blue Ocean သွားတိုက်ဆေး 100g</t>
  </si>
  <si>
    <t>Berman Option 1 သွားတိုက်တံ</t>
  </si>
  <si>
    <t>Pro သွားတိုက်တံ ဗူးသေး</t>
  </si>
  <si>
    <t>Pro သွားတိုက်တံ ဗူးကြီး</t>
  </si>
  <si>
    <t>Nivea Lotion Extra Bright</t>
  </si>
  <si>
    <t>Vaseline Lotion UV Extra</t>
  </si>
  <si>
    <t>Makeup Tissue (အမဲ ၁၀ ခုပါ)</t>
  </si>
  <si>
    <t>Makeup Tissue (အမဲ ၃ ခုပါ)</t>
  </si>
  <si>
    <t>Cat Tissue Green Small</t>
  </si>
  <si>
    <t>Cat Tissue Orange Big</t>
  </si>
  <si>
    <t>Paris ဆပ်ပြာခဲ</t>
  </si>
  <si>
    <t>ကြာပန်းဆပ်ပြာမှုန့် 700g</t>
  </si>
  <si>
    <t>ကြာပန်းဆပ်ပြာမှုန့် 3Kg</t>
  </si>
  <si>
    <t>Mao Wang 160g</t>
  </si>
  <si>
    <t>Mao Wang 418g</t>
  </si>
  <si>
    <t>Mao Wang 918g</t>
  </si>
  <si>
    <t>Mao Wang 1680g</t>
  </si>
  <si>
    <t>ထိုင်း ဖယောင်းတိုင်</t>
  </si>
  <si>
    <t>ဆပ်ပြာဆီသေး</t>
  </si>
  <si>
    <t>ဆပ်ပြာဆီကြီး</t>
  </si>
  <si>
    <t>လျော်မွေးဆီ 2Kg</t>
  </si>
  <si>
    <t>လျော်မွေးဆီ 3Kg</t>
  </si>
  <si>
    <t>B1 ဆပ်ပြာခရမ်-1000g</t>
  </si>
  <si>
    <t>B1 ဆပ်ပြာခရမ်-400g</t>
  </si>
  <si>
    <t>ရွှေသုခ ၅၀ သား</t>
  </si>
  <si>
    <t>ရွှေသုခ ၁ ပိဿာ</t>
  </si>
  <si>
    <t>ပုံး</t>
  </si>
  <si>
    <t>ရွှေသုခ ၃ ပိဿာ</t>
  </si>
  <si>
    <t>ရွှေသုခ ၁၀ ပိဿာ</t>
  </si>
  <si>
    <t>Kung Fu ခြင်ဆေးခွေ (စိမ်း)</t>
  </si>
  <si>
    <t>Kung Fu ခြင်ဆေးခွေ (အမဲ)</t>
  </si>
  <si>
    <t>စနိုးပန်းကန်ဆေးဆပ်ပြာ 700g</t>
  </si>
  <si>
    <t>ယိုးဒယား ခရုဆီပုလင်းကြီး 660 ML</t>
  </si>
  <si>
    <t>ယိုးဒယား ခရုဆီပုလင်းသေး</t>
  </si>
  <si>
    <t>Taiyo China</t>
  </si>
  <si>
    <t>Taiyo Thai</t>
  </si>
  <si>
    <t>Celebrity ဖဲထုပ်</t>
  </si>
  <si>
    <t>Dollar ဖဲထုပ်</t>
  </si>
  <si>
    <t>35-A (ဝါးတူ)</t>
  </si>
  <si>
    <t>ကျင်းထုံ (ခြင်ဆေးခွေ)</t>
  </si>
  <si>
    <t>Premier 3 in 1 (Instant Coffee)</t>
  </si>
  <si>
    <t>Premier 2+1 (Instant Coffee)</t>
  </si>
  <si>
    <t>Makeup Pocket Tissue (အဖြူ)</t>
  </si>
  <si>
    <t>တရုတ်ပီကေ နာနတ်</t>
  </si>
  <si>
    <t>2+1 Cake နို့</t>
  </si>
  <si>
    <t>Wow အာလူးကြော်</t>
  </si>
  <si>
    <t>Product Name</t>
  </si>
  <si>
    <t>Status</t>
  </si>
  <si>
    <t>Out of Stock</t>
  </si>
  <si>
    <t>Unit</t>
  </si>
  <si>
    <t>2+1 Cake ချိစ်</t>
  </si>
  <si>
    <t>Retail</t>
  </si>
  <si>
    <t>Wholesale</t>
  </si>
  <si>
    <t>UPC</t>
  </si>
  <si>
    <t>Product ID</t>
  </si>
  <si>
    <t>GTM - 0001</t>
  </si>
  <si>
    <t>GTM - 0002</t>
  </si>
  <si>
    <t>GTM - 0003</t>
  </si>
  <si>
    <t>GTM - 0004</t>
  </si>
  <si>
    <t>GTM - 0005</t>
  </si>
  <si>
    <t>GTM - 0006</t>
  </si>
  <si>
    <t>GTM - 0007</t>
  </si>
  <si>
    <t>GTM - 0008</t>
  </si>
  <si>
    <t>GTM - 0009</t>
  </si>
  <si>
    <t>GTM - 0010</t>
  </si>
  <si>
    <t>GTM - 0011</t>
  </si>
  <si>
    <t>GTM - 0012</t>
  </si>
  <si>
    <t>GTM - 0013</t>
  </si>
  <si>
    <t>GTM - 0014</t>
  </si>
  <si>
    <t>GTM - 0015</t>
  </si>
  <si>
    <t>GTM - 0016</t>
  </si>
  <si>
    <t>GTM - 0017</t>
  </si>
  <si>
    <t>GTM - 0018</t>
  </si>
  <si>
    <t>GTM - 0019</t>
  </si>
  <si>
    <t>GTM - 0020</t>
  </si>
  <si>
    <t>GTM - 0021</t>
  </si>
  <si>
    <t>GTM - 0022</t>
  </si>
  <si>
    <t>GTM - 0023</t>
  </si>
  <si>
    <t>GTM - 0024</t>
  </si>
  <si>
    <t>GTM - 0025</t>
  </si>
  <si>
    <t>GTM - 0026</t>
  </si>
  <si>
    <t>GTM - 0027</t>
  </si>
  <si>
    <t>GTM - 0028</t>
  </si>
  <si>
    <t>GTM - 0029</t>
  </si>
  <si>
    <t>GTM - 0030</t>
  </si>
  <si>
    <t>GTM - 0031</t>
  </si>
  <si>
    <t>GTM - 0032</t>
  </si>
  <si>
    <t>GTM - 0033</t>
  </si>
  <si>
    <t>GTM - 0034</t>
  </si>
  <si>
    <t>GTM - 0035</t>
  </si>
  <si>
    <t>GTM - 0036</t>
  </si>
  <si>
    <t>GTM - 0037</t>
  </si>
  <si>
    <t>GTM - 0038</t>
  </si>
  <si>
    <t>GTM - 0039</t>
  </si>
  <si>
    <t>GTM - 0040</t>
  </si>
  <si>
    <t>GTM - 0041</t>
  </si>
  <si>
    <t>GTM - 0042</t>
  </si>
  <si>
    <t>GTM - 0043</t>
  </si>
  <si>
    <t>GTM - 0044</t>
  </si>
  <si>
    <t>GTM - 0045</t>
  </si>
  <si>
    <t>GTM - 0046</t>
  </si>
  <si>
    <t>GTM - 0047</t>
  </si>
  <si>
    <t>GTM - 0048</t>
  </si>
  <si>
    <t>GTM - 0049</t>
  </si>
  <si>
    <t>GTM - 0050</t>
  </si>
  <si>
    <t>GTM - 0051</t>
  </si>
  <si>
    <t>GTM - 0052</t>
  </si>
  <si>
    <t>GTM - 0053</t>
  </si>
  <si>
    <t>GTM - 0054</t>
  </si>
  <si>
    <t>GTM - 0055</t>
  </si>
  <si>
    <t>GTM - 0056</t>
  </si>
  <si>
    <t>GTM - 0057</t>
  </si>
  <si>
    <t>GTM - 0058</t>
  </si>
  <si>
    <t>GTM - 0059</t>
  </si>
  <si>
    <t>GTM - 0060</t>
  </si>
  <si>
    <t>GTM - 0061</t>
  </si>
  <si>
    <t>GTM - 0062</t>
  </si>
  <si>
    <t>GTM - 0063</t>
  </si>
  <si>
    <t>GTM - 0064</t>
  </si>
  <si>
    <t>GTM - 0065</t>
  </si>
  <si>
    <t>GTM - 0066</t>
  </si>
  <si>
    <t>GTM - 0067</t>
  </si>
  <si>
    <t>GTM - 0068</t>
  </si>
  <si>
    <t>GTM - 0069</t>
  </si>
  <si>
    <t>GTM - 0070</t>
  </si>
  <si>
    <t>GTM - 0071</t>
  </si>
  <si>
    <t>GTM - 0072</t>
  </si>
  <si>
    <t>GTM - 0073</t>
  </si>
  <si>
    <t>GTM - 0074</t>
  </si>
  <si>
    <t>GTM - 0075</t>
  </si>
  <si>
    <t>GTM - 0076</t>
  </si>
  <si>
    <t>GTM - 0077</t>
  </si>
  <si>
    <t>GTM - 0078</t>
  </si>
  <si>
    <t>GTM - 0079</t>
  </si>
  <si>
    <t>GTM - 0080</t>
  </si>
  <si>
    <t>GTM - 0081</t>
  </si>
  <si>
    <t>GTM - 0082</t>
  </si>
  <si>
    <t>GTM - 0083</t>
  </si>
  <si>
    <t>GTM - 0084</t>
  </si>
  <si>
    <t>GTM - 0085</t>
  </si>
  <si>
    <t>GTM - 0087</t>
  </si>
  <si>
    <t>GTM - 0088</t>
  </si>
  <si>
    <t>GTM - 0090</t>
  </si>
  <si>
    <t>GTM - 0091</t>
  </si>
  <si>
    <t>GTM - 0092</t>
  </si>
  <si>
    <t>GTM - 0093</t>
  </si>
  <si>
    <t>GTM - 0094</t>
  </si>
  <si>
    <t>GTM - 0095</t>
  </si>
  <si>
    <t>GTM - 0096</t>
  </si>
  <si>
    <t>GTM - 0097</t>
  </si>
  <si>
    <t>GTM - 0098</t>
  </si>
  <si>
    <t>GTM - 0099</t>
  </si>
  <si>
    <t>GTM - 0100</t>
  </si>
  <si>
    <t>GTM - 0101</t>
  </si>
  <si>
    <t>GTM - 0102</t>
  </si>
  <si>
    <t>GTM - 0103</t>
  </si>
  <si>
    <t>GTM - 0104</t>
  </si>
  <si>
    <t>GTM - 0105</t>
  </si>
  <si>
    <t>GTM - 0106</t>
  </si>
  <si>
    <t>GTM - 0107</t>
  </si>
  <si>
    <t>GTM - 0108</t>
  </si>
  <si>
    <t>GTM - 0109</t>
  </si>
  <si>
    <t>GTM - 0110</t>
  </si>
  <si>
    <t>GTM - 0111</t>
  </si>
  <si>
    <t>GTM - 0112</t>
  </si>
  <si>
    <t>GTM - 0113</t>
  </si>
  <si>
    <t>GTM - 0114</t>
  </si>
  <si>
    <t>GTM - 0115</t>
  </si>
  <si>
    <t>GTM - 0116</t>
  </si>
  <si>
    <t>GTM - 0117</t>
  </si>
  <si>
    <t>GTM - 0118</t>
  </si>
  <si>
    <t>GTM - 0119</t>
  </si>
  <si>
    <t>GTM - 0120</t>
  </si>
  <si>
    <t>GTM - 0121</t>
  </si>
  <si>
    <t>GTM - 0122</t>
  </si>
  <si>
    <t>GTM - 0123</t>
  </si>
  <si>
    <t>GTM - 0124</t>
  </si>
  <si>
    <t>GTM - 0125</t>
  </si>
  <si>
    <t>GTM - 0126</t>
  </si>
  <si>
    <t>GTM - 0127</t>
  </si>
  <si>
    <t>GTM - 0128</t>
  </si>
  <si>
    <t>GTM - 0129</t>
  </si>
  <si>
    <t>GTM - 0130</t>
  </si>
  <si>
    <t>GTM - 0131</t>
  </si>
  <si>
    <t>GTM - 0136</t>
  </si>
  <si>
    <t>GTM - 0138</t>
  </si>
  <si>
    <t>GTM - 0139</t>
  </si>
  <si>
    <t>GTM - 0140</t>
  </si>
  <si>
    <t>GTM - 0141</t>
  </si>
  <si>
    <t>GTM - 0142</t>
  </si>
  <si>
    <t>GTM - 0143</t>
  </si>
  <si>
    <t>GTM - 0144</t>
  </si>
  <si>
    <t>GTM - 0145</t>
  </si>
  <si>
    <t>GTM - 0146</t>
  </si>
  <si>
    <t>GTM - 0147</t>
  </si>
  <si>
    <t>GTM - 0148</t>
  </si>
  <si>
    <t>GTM - 0149</t>
  </si>
  <si>
    <t>GTM - 0150</t>
  </si>
  <si>
    <t>GTM - 0153</t>
  </si>
  <si>
    <t>GTM - 0154</t>
  </si>
  <si>
    <t>GTM - 0155</t>
  </si>
  <si>
    <t>GTM - 0156</t>
  </si>
  <si>
    <t>GTM - 0157</t>
  </si>
  <si>
    <t>GTM - 0158</t>
  </si>
  <si>
    <t>ဟာကြူလီ ဘီစကစ်</t>
  </si>
  <si>
    <t>Instock</t>
  </si>
  <si>
    <t>ဆွဲ</t>
  </si>
  <si>
    <t>‌ဗူး</t>
  </si>
  <si>
    <t>Sunkist (Orange)</t>
  </si>
  <si>
    <t>In Stock</t>
  </si>
  <si>
    <t>VeVe သီးစုံ/မန်ကျည်း</t>
  </si>
  <si>
    <t>Lux Bouncy Glow 450 ML (2 Bots)</t>
  </si>
  <si>
    <t>Lux Magical Orchid 450 ML (2 Bots)</t>
  </si>
  <si>
    <t>Lux Rosy Glow 450 ML (2 Bots)</t>
  </si>
  <si>
    <t>Lux Peachy Glow 450 ML (2 Bots)</t>
  </si>
  <si>
    <t>Lux Dewy Glow 450 ML (2 Bots)</t>
  </si>
  <si>
    <t>Lux Shower Gel (Yellow)</t>
  </si>
  <si>
    <t>Lux Shower Gel (Purple)</t>
  </si>
  <si>
    <t>Lux Shower Gel (Pink)</t>
  </si>
  <si>
    <t>Lux Shower Gel (Blue)</t>
  </si>
  <si>
    <t>Lux Bar Soap (Purple)</t>
  </si>
  <si>
    <t>Lux Bar Soap (Pink)</t>
  </si>
  <si>
    <t>Lux Bar Soap (White)</t>
  </si>
  <si>
    <t>Lux Renewed Glow 450 ML (2 Bots)</t>
  </si>
  <si>
    <t>Lux Even Tone Glow 450 ML (2 Bots)</t>
  </si>
  <si>
    <t>Lux Clear Glow 450 ML (2 Bots)</t>
  </si>
  <si>
    <t>ပင်ဂွင်း Hand Wash (အနီ)</t>
  </si>
  <si>
    <t>ပင်ဂွင်း Hand Wash (ခရမ်း)</t>
  </si>
  <si>
    <t>ပင်ဂွင်း Hand Wash (အပန်း)</t>
  </si>
  <si>
    <t>ပင်ဂွင်း Hand Wash (အပြာ)</t>
  </si>
  <si>
    <t>ပင်ဂွင်း Hand Wash (အစိမ်း)</t>
  </si>
  <si>
    <t>Vaseline (ပုလဲ)</t>
  </si>
  <si>
    <t>Vaseline (လိမ္မော်)</t>
  </si>
  <si>
    <t>Vaseline (အပန်း)</t>
  </si>
  <si>
    <t>Sun Su (အနီ)</t>
  </si>
  <si>
    <t>Sun Su (လိမ္မော်)</t>
  </si>
  <si>
    <t>Sun Su (အဝါ)</t>
  </si>
  <si>
    <t>Jabs (UV Protection)</t>
  </si>
  <si>
    <t>Jabs (Fresh Cool)</t>
  </si>
  <si>
    <t>Jabs (Water Resistance)</t>
  </si>
  <si>
    <t>Jabs (Astax)</t>
  </si>
  <si>
    <t>GOAT MILK (အဖြူ)</t>
  </si>
  <si>
    <t>GOAT MILK (အနီ)</t>
  </si>
  <si>
    <t>Bwin (အပန်း)</t>
  </si>
  <si>
    <t>Bwin (ခရမ်း)</t>
  </si>
  <si>
    <t>Be nice (သစ်တော်)</t>
  </si>
  <si>
    <t>Be nice (ပန်းသီး)</t>
  </si>
  <si>
    <t>Be nice (မက်မွန်)</t>
  </si>
  <si>
    <t>Be nice (ဘယ်ရီ)</t>
  </si>
  <si>
    <t>Be nice (စတော်)</t>
  </si>
  <si>
    <t>Be nice (ကီဝီသီး)</t>
  </si>
  <si>
    <t>Be nice (ခရမ်းချဉ်သီး)</t>
  </si>
  <si>
    <t>Be nice (သီးစုံ)</t>
  </si>
  <si>
    <t>Nivea Facial Form (တစ်တွဲ ၃ဗူး)</t>
  </si>
  <si>
    <t>Goat Milk (အပန်း)</t>
  </si>
  <si>
    <t>Jeeno (ဂျယ်လီ)</t>
  </si>
  <si>
    <t>Jeeno (cola)</t>
  </si>
  <si>
    <t>Jeeno (စပျစ်)</t>
  </si>
  <si>
    <t>Center Fruit - Bubble Gum</t>
  </si>
  <si>
    <t>GTM - 0086</t>
  </si>
  <si>
    <t>GTM - 0089</t>
  </si>
  <si>
    <t>Brand ဌက်သိုက်ကြီး (သကြားမပါ)</t>
  </si>
  <si>
    <t>2+1 Cake (ကန်စွန်းဥ)</t>
  </si>
  <si>
    <t>2+1 Cake (ချိစ်)</t>
  </si>
  <si>
    <t/>
  </si>
  <si>
    <t>7&amp;11 (Pati)</t>
  </si>
  <si>
    <t>7&amp;11 (Premium)</t>
  </si>
  <si>
    <t>7&amp;11 Special</t>
  </si>
  <si>
    <t>A1 အိုင်အိုဒင်းဆား</t>
  </si>
  <si>
    <t>Arno (Tomato Snack)</t>
  </si>
  <si>
    <t>Asia ပင်မှည့်</t>
  </si>
  <si>
    <t>B1ဆပ်ပြာခရင်မ် (1000G)</t>
  </si>
  <si>
    <t>B1ဆပ်ပြာခရင်မ် (400G)</t>
  </si>
  <si>
    <t>Beng Beng (ဝေဖာ)</t>
  </si>
  <si>
    <t>Black Fox (Chocolate)</t>
  </si>
  <si>
    <t>Black Fox (Straw)</t>
  </si>
  <si>
    <t>Bounce ဘီစကစ် (Choco)</t>
  </si>
  <si>
    <t>Bounce ဘီစကစ် (Orange)</t>
  </si>
  <si>
    <t>Bourbon (ဘီစကစ်)</t>
  </si>
  <si>
    <t>Brand ကြက်ပေါင်း (ကြီး)</t>
  </si>
  <si>
    <t>Brand ကြက်ပေါင်း (သေး)</t>
  </si>
  <si>
    <t>Brand ငှက်သိုက် (သကြားမပါ) (သေး)</t>
  </si>
  <si>
    <t>Brand ငှက်သိုက် (သေး)</t>
  </si>
  <si>
    <t>Brand ငှက်သိုက် (ကြီး)</t>
  </si>
  <si>
    <t>Brand ငှက်သိုက် (သကြားမပါ) (ကြီး)</t>
  </si>
  <si>
    <t>Carabao (ကျွဲစိမ်း)</t>
  </si>
  <si>
    <t>Cat (Tissue) အစိမ်း</t>
  </si>
  <si>
    <t>Cat (Tissue) အဝါ</t>
  </si>
  <si>
    <t>Clear (Sakura) (350 ML x 2 ဗူး)</t>
  </si>
  <si>
    <t>Clear (Ice Cool) (350 ML x 2 ဗူး)</t>
  </si>
  <si>
    <t>Clear Men (350ML x 2 ဗူး)</t>
  </si>
  <si>
    <t>Clear Shampoo (410ML x 2 ဗူး)</t>
  </si>
  <si>
    <t>Coffee Dreamy (1 Kg)</t>
  </si>
  <si>
    <t>Cola ပုလင်း</t>
  </si>
  <si>
    <t>De leaf (ရေချိုးဆပ်ပြာရည်)</t>
  </si>
  <si>
    <t>Dent (သွားတိုက်ဆေး)</t>
  </si>
  <si>
    <t>DOODH ဘီစကစ်</t>
  </si>
  <si>
    <t>Dunhill အနီ အစစ်</t>
  </si>
  <si>
    <t>Gery ချောကလက်ဝေဖာ (လိမ္မော်)</t>
  </si>
  <si>
    <t>Gery ချောကလက်ဝေဖာ (အပြာ)</t>
  </si>
  <si>
    <t>Goat Milk (Pink)</t>
  </si>
  <si>
    <t>Goat Milk (White)</t>
  </si>
  <si>
    <t>GUMMY CANDY (ဂျယ်လီ)</t>
  </si>
  <si>
    <t>GUMMY CANDY (ဒိုင်နိုဆော)</t>
  </si>
  <si>
    <t>H&amp;S Apple Fresh (370ML x 2 ဗူး)</t>
  </si>
  <si>
    <t>H&amp;S Shampoo (450ML x 2 ဗူး)</t>
  </si>
  <si>
    <t>H&amp;S Smooth&amp;Silky (370ML x 2 ဗူး)</t>
  </si>
  <si>
    <t>Hide&amp;Seek</t>
  </si>
  <si>
    <t>hotdog အသေး အစပ်ချောင်း</t>
  </si>
  <si>
    <t>Juwang ခေါက်ဆွဲ ခရမ်း</t>
  </si>
  <si>
    <t>Juwang ခေါက်ဆွဲ လိမ္မော်</t>
  </si>
  <si>
    <t>Juwang ခေါက်ဆွဲ အစိမ်း</t>
  </si>
  <si>
    <t>Juwang ခေါက်ဆွဲ အနီ</t>
  </si>
  <si>
    <t>Juwang ခေါက်ဆွဲ အပန်း</t>
  </si>
  <si>
    <t>Juwang ခေါက်ဆွဲ အဝါ</t>
  </si>
  <si>
    <t>Kalpa</t>
  </si>
  <si>
    <t>Knorr ကြက်သားမှုန့် ၄၀၀g</t>
  </si>
  <si>
    <t>knorr ကြက်သားမှုန့် 800g</t>
  </si>
  <si>
    <t>Kung Fu ခြင်ဆေးခွေ (ဆနွင်း)</t>
  </si>
  <si>
    <t>Little Miss (စတော်)</t>
  </si>
  <si>
    <t>Little Miss (ဘယ်ရီ)</t>
  </si>
  <si>
    <t>Little Miss (လိမ္မော်)</t>
  </si>
  <si>
    <t>Little Miss (သီးစုံ)</t>
  </si>
  <si>
    <t>Lux Bouncy Glow (450ML x 2 ဗူး)</t>
  </si>
  <si>
    <t>Lux Clear Glow (450 ML x 2 ဗူး)</t>
  </si>
  <si>
    <t>Lux Dewy Glow (450ML x 2 ဗူး)</t>
  </si>
  <si>
    <t>Lux Even Tone Glow (450ML x 2 ဗူး)</t>
  </si>
  <si>
    <t>Lux Magical Orchid (450ML x 2 ဗူး)</t>
  </si>
  <si>
    <t>Lux Peachy Glow (450ML x 2 ဗူး)</t>
  </si>
  <si>
    <t>Lux Renewed Glow (450ML x 2 ဗူး)</t>
  </si>
  <si>
    <t>Lux Rosy Glow (450ML x 2 ဗူး)</t>
  </si>
  <si>
    <t>Makeup Tissue (အမဲ ၁၀ ပါ)</t>
  </si>
  <si>
    <t>Makeup Tissue (အမဲ ၃ ခု ပါ)</t>
  </si>
  <si>
    <t>Malboro Gold (လက်သစ်)</t>
  </si>
  <si>
    <t>Malboro Red (လက်သစ်)</t>
  </si>
  <si>
    <t>Malkist (Chocolate)</t>
  </si>
  <si>
    <t>Malkist (Cheese)</t>
  </si>
  <si>
    <t>Mao Wang 70g</t>
  </si>
  <si>
    <t>Mevius (လက်ဟောင်း)</t>
  </si>
  <si>
    <t>Mevius (လက်သစ်)</t>
  </si>
  <si>
    <t>Milo Milk Drink (Chocolate)</t>
  </si>
  <si>
    <t>Nabati (Pink)</t>
  </si>
  <si>
    <t>Nabati (Yellow)</t>
  </si>
  <si>
    <t>Napoli Gold (လက်သစ်)</t>
  </si>
  <si>
    <t>Napoli Gold Taxpaid (လက်ဟောင်း)</t>
  </si>
  <si>
    <t>Napoli Gold Taxpaid (လက်သစ်)</t>
  </si>
  <si>
    <t>Napoli Silver (လက်သစ်)</t>
  </si>
  <si>
    <t>Napoli Silver Taxpaid (လက်ဟောင်း)</t>
  </si>
  <si>
    <t>Napoli Silver Taxpaid (လက်သစ်)</t>
  </si>
  <si>
    <t>Nivea Facial Form (Extra Bright)</t>
  </si>
  <si>
    <t>Nivea Lotion (Extra Bright)</t>
  </si>
  <si>
    <t>Nivea Facial Form (Acne)</t>
  </si>
  <si>
    <t>Paris (ဆပ်ပြာခဲ)</t>
  </si>
  <si>
    <t>Parle-G (ဘီစကစ်)</t>
  </si>
  <si>
    <t>Power Plus (Energy Drink)</t>
  </si>
  <si>
    <t>Premier 2 + 1 (Instant Coffee)</t>
  </si>
  <si>
    <t>Royal-D (Energy Drink)</t>
  </si>
  <si>
    <t>Shark (အချိုရည် )</t>
  </si>
  <si>
    <t>Snow (ပန်းကန်ဆေးဆီ)</t>
  </si>
  <si>
    <t>Super Kiddy (Diaper)</t>
  </si>
  <si>
    <t>Super Star (ချောကလက်ဝေဖာ)</t>
  </si>
  <si>
    <t>Taiyo (China)</t>
  </si>
  <si>
    <t>Taiyo (Thai)</t>
  </si>
  <si>
    <t>Thai (Shampoo)</t>
  </si>
  <si>
    <t>Top Herbs (Biscuit)</t>
  </si>
  <si>
    <t>Vaseline Lotion (UV Extra)</t>
  </si>
  <si>
    <t>VeVe (မန်ကျည်း)</t>
  </si>
  <si>
    <t>Veve (သီးစုံ)</t>
  </si>
  <si>
    <t>Vixol (ကြွေဆေးရည်)</t>
  </si>
  <si>
    <t>Wow အာလူးကြော် (အကင်)</t>
  </si>
  <si>
    <t>Wow အာလူးကြော် (ပုံမှန်)</t>
  </si>
  <si>
    <t>Wow အာလူးကြော် (မာလာ)</t>
  </si>
  <si>
    <t>Wow အာလူးကြော် (ရေညှိ)</t>
  </si>
  <si>
    <t>Wow အာလူးကြော် (အစပ်)</t>
  </si>
  <si>
    <t>Xylitol ပီကေ (ခရမ်း)</t>
  </si>
  <si>
    <t>Xylitol ပီကေ (အစိမ်း)</t>
  </si>
  <si>
    <t>Xylitol ပီကေ (အပန်း)</t>
  </si>
  <si>
    <t>Xylitol ပီကေ (အပြာ)</t>
  </si>
  <si>
    <t>Yum Yum (အပျော့)</t>
  </si>
  <si>
    <t>Zora ဓါတ်ဆားရည်</t>
  </si>
  <si>
    <t>ကြာပန်းဆပ်ပြာမှုန့် (3 kg)</t>
  </si>
  <si>
    <t>ကြာပန်းဆပ်ပြာမှုန့် (700 g)</t>
  </si>
  <si>
    <t>ခပေါင်း (လက်သစ်)</t>
  </si>
  <si>
    <t>ခပေါင်း (လက်ဟောင်း)</t>
  </si>
  <si>
    <t>စိုးစံ (မဆလာ)</t>
  </si>
  <si>
    <t>Longsao (ဆပ်ပြာဆီ) (3kg)</t>
  </si>
  <si>
    <t>Longsao (ဆပ်ပြာဆီ) 1.26 L</t>
  </si>
  <si>
    <t>Longsao (ဆပ်ပြာဆီ) 500 ml</t>
  </si>
  <si>
    <t>Longsao (ဆပ်ပြာမှုန့် ) (1.02 Kg)</t>
  </si>
  <si>
    <t>Longsao (ဆပ်ပြာမှုန့် ) (518 g)</t>
  </si>
  <si>
    <t>တရုတ် ပီကေ (စတော်)</t>
  </si>
  <si>
    <t>တရုတ် ပီကေ (နာနတ်)</t>
  </si>
  <si>
    <t>တရုတ် ပီကေ (ပူစီနံ)</t>
  </si>
  <si>
    <t>တရုတ် ပီကေ (ဖရဲ)</t>
  </si>
  <si>
    <t>တရုတ် ပီကေ (မာလကာ)</t>
  </si>
  <si>
    <t>တရုတ် ပီကေ (လိမ္မော်)</t>
  </si>
  <si>
    <t>တရုတ် ပီကေ (သရက်)</t>
  </si>
  <si>
    <t>ထိုင်းဖယောင်းတိုင် (အနီ)</t>
  </si>
  <si>
    <t>ထိုင်းဖယောင်းတိုင် (အဝါ)</t>
  </si>
  <si>
    <t>ထိုင်းဖယောင်းတိုင် ( အဖြူ)</t>
  </si>
  <si>
    <t>ပုဇွန်ထမ်းငံပြာရည်ပုလင်း (700ML)</t>
  </si>
  <si>
    <t>ယိုးဒယား ခရုဆီ (ကြီး)</t>
  </si>
  <si>
    <t>ယိုးဒယား ခရုဆီ (သေး)</t>
  </si>
  <si>
    <t>ရွှေသုခ ပဲဆီ (၁၀ ပိဿာ)</t>
  </si>
  <si>
    <t>ရွှေသုခ ပဲဆီ (၁ ပိဿာ)</t>
  </si>
  <si>
    <t>ရွှေသုခ ပဲဆီ (၃ပိဿာ)</t>
  </si>
  <si>
    <t>ရွှေသုခ ပဲဆီ (၅၀သား)</t>
  </si>
  <si>
    <t>ရှမ်းကြီး (ငပိလက်ဖက်ထောင်း)</t>
  </si>
  <si>
    <t>ရှယ်စား (ရခိုင်ငပိထောင်း)</t>
  </si>
  <si>
    <t>Seaweed (ရေညှိဘီစကစ်)</t>
  </si>
  <si>
    <t>Longsao (လျှော်မွှေးဆီ) (2 kg)</t>
  </si>
  <si>
    <t>Longao (လျှော်မွှေးဆီ) (3 kg)</t>
  </si>
  <si>
    <t>ဟာကြူလီ (ဘီစကစ်) (မြေပဲ)</t>
  </si>
  <si>
    <t>ဟာကြူလီ (ဘီစကစ်) (ထောပတ်)</t>
  </si>
  <si>
    <t>ဟာကြူလီ (ဘီစကစ်) (အုံးမွှေး)</t>
  </si>
  <si>
    <t>7&amp;11 Pati</t>
  </si>
  <si>
    <t>7&amp;11 Premium</t>
  </si>
  <si>
    <t>Speed (Energy Drink)</t>
  </si>
  <si>
    <t>Jeeno Jelly (cola)</t>
  </si>
  <si>
    <t>Jeeno Jelly (Grape)</t>
  </si>
  <si>
    <t>Berman OP-1 (သွားတိုက်တံ)</t>
  </si>
  <si>
    <t>Blue Ocean (သွားတိုက်ဆေး) (100g)</t>
  </si>
  <si>
    <t xml:space="preserve"> ကဒ်</t>
  </si>
  <si>
    <t>GTM - 0132</t>
  </si>
  <si>
    <t>GTM - 0133</t>
  </si>
  <si>
    <t>GTM - 0134</t>
  </si>
  <si>
    <t>GTM - 0135</t>
  </si>
  <si>
    <t>GTM - 0137</t>
  </si>
  <si>
    <t>GTM - 0151</t>
  </si>
  <si>
    <t>GTM - 0152</t>
  </si>
  <si>
    <t>GTM - 0159</t>
  </si>
  <si>
    <t>GTM - 0160</t>
  </si>
  <si>
    <t>GTM - 0161</t>
  </si>
  <si>
    <t>GTM - 0162</t>
  </si>
  <si>
    <t>GTM - 0163</t>
  </si>
  <si>
    <t>GTM - 0164</t>
  </si>
  <si>
    <t>GTM - 0165</t>
  </si>
  <si>
    <t>GTM - 0166</t>
  </si>
  <si>
    <t>GTM - 0167</t>
  </si>
  <si>
    <t>GTM - 0168</t>
  </si>
  <si>
    <t>GTM - 0169</t>
  </si>
  <si>
    <t>GTM - 0170</t>
  </si>
  <si>
    <t>GTM - 0171</t>
  </si>
  <si>
    <t>GTM - 0172</t>
  </si>
  <si>
    <t>GTM - 0173</t>
  </si>
  <si>
    <t>GTM - 0174</t>
  </si>
  <si>
    <t>GTM - 0175</t>
  </si>
  <si>
    <t>GTM - 0176</t>
  </si>
  <si>
    <t>GTM - 0177</t>
  </si>
  <si>
    <t>GTM - 0178</t>
  </si>
  <si>
    <t>GTM - 0179</t>
  </si>
  <si>
    <t>GTM - 0180</t>
  </si>
  <si>
    <t>GTM - 0181</t>
  </si>
  <si>
    <t>GTM - 0182</t>
  </si>
  <si>
    <t>GTM - 0183</t>
  </si>
  <si>
    <t>GTM - 0184</t>
  </si>
  <si>
    <t>GTM - 0185</t>
  </si>
  <si>
    <t>GTM - 0186</t>
  </si>
  <si>
    <t>GTM - 0187</t>
  </si>
  <si>
    <t>GTM - 0188</t>
  </si>
  <si>
    <t>GTM - 0189</t>
  </si>
  <si>
    <t>GTM - 0190</t>
  </si>
  <si>
    <t>GTM - 0191</t>
  </si>
  <si>
    <t>GTM - 0192</t>
  </si>
  <si>
    <t>GTM - 0193</t>
  </si>
  <si>
    <t>GTM - 0194</t>
  </si>
  <si>
    <t>GTM - 0195</t>
  </si>
  <si>
    <t>GTM - 0196</t>
  </si>
  <si>
    <t>GTM - 0197</t>
  </si>
  <si>
    <t>GTM - 0198</t>
  </si>
  <si>
    <t>GTM - 0199</t>
  </si>
  <si>
    <t>GTM - 0200</t>
  </si>
  <si>
    <t>GTM - 0201</t>
  </si>
  <si>
    <t>GTM - 0202</t>
  </si>
  <si>
    <t>GTM - 0203</t>
  </si>
  <si>
    <t>GTM - 0204</t>
  </si>
  <si>
    <t>GTM - 0205</t>
  </si>
  <si>
    <t>GTM - 0206</t>
  </si>
  <si>
    <t>GTM - 0207</t>
  </si>
  <si>
    <t>GTM - 0208</t>
  </si>
  <si>
    <t>GTM - 0209</t>
  </si>
  <si>
    <t>GTM - 0210</t>
  </si>
  <si>
    <t>GTM - 0211</t>
  </si>
  <si>
    <t>GTM - 0212</t>
  </si>
  <si>
    <t>GTM - 0213</t>
  </si>
  <si>
    <t>GTM - 0214</t>
  </si>
  <si>
    <t>GTM - 0215</t>
  </si>
  <si>
    <t>GTM - 0216</t>
  </si>
  <si>
    <t>GTM - 0217</t>
  </si>
  <si>
    <t>GTM - 0218</t>
  </si>
  <si>
    <t>GTM - 0219</t>
  </si>
  <si>
    <t>GTM - 0220</t>
  </si>
  <si>
    <t>GTM - 0221</t>
  </si>
  <si>
    <t>GTM - 0222</t>
  </si>
  <si>
    <t>GTM - 0223</t>
  </si>
  <si>
    <t>GTM - 0224</t>
  </si>
  <si>
    <t>GTM - 0225</t>
  </si>
  <si>
    <t>Royal-D (သီးစုံ ဓါတ်ဆား)</t>
  </si>
  <si>
    <t>‌တောင့်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</si>
</sst>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000455]0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6"/>
      <color rgb="FF2F3542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1"/>
      <name val="Calibri"/>
      <family val="2"/>
      <scheme val="minor"/>
    </font>
    <font>
      <sz val="11"/>
      <name val="Segoe U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Segoe UI"/>
      <family val="2"/>
    </font>
    <font>
      <sz val="10"/>
      <name val="Calibri"/>
      <family val="2"/>
      <scheme val="minor"/>
    </font>
    <font>
      <sz val="10"/>
      <name val="Segoe UI"/>
      <family val="2"/>
    </font>
    <font>
      <sz val="10"/>
      <color theme="1"/>
      <name val="Calibri"/>
      <family val="2"/>
      <scheme val="minor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Pyidaungsu"/>
      <family val="2"/>
    </font>
  </fonts>
  <fills count="4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F1F2F6"/>
        <bgColor rgb="FFF1F2F6"/>
      </patternFill>
    </fill>
  </fills>
  <borders count="7">
    <border>
      <left/>
      <right/>
      <top/>
      <bottom/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2" xfId="0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1" applyNumberFormat="1" applyFont="1" applyFill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5" fontId="16" fillId="0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numFmt numFmtId="165" formatCode="_(* #,##0_);_(* \(#,##0\);_(* &quot;-&quot;??_);_(@_)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yidaungsu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046875"/>
          <c:y val="0.14844027777777777"/>
          <c:w val="0.87185156249999995"/>
          <c:h val="0.5536483333333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'Overview Dashboard'!$B$3</c:f>
              <c:strCache>
                <c:ptCount val="1"/>
                <c:pt idx="0">
                  <c:v>Total Items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'Overview Dashboard'!$A$4:$A$10</c:f>
              <c:strCache>
                <c:ptCount val="7"/>
                <c:pt idx="0">
                  <c:v>Cigarettes</c:v>
                </c:pt>
                <c:pt idx="1">
                  <c:v>Food &amp; Snacks</c:v>
                </c:pt>
                <c:pt idx="2">
                  <c:v>Beverages</c:v>
                </c:pt>
                <c:pt idx="3">
                  <c:v>Baby &amp; Health</c:v>
                </c:pt>
                <c:pt idx="4">
                  <c:v>Personal Care</c:v>
                </c:pt>
                <c:pt idx="5">
                  <c:v>Household</c:v>
                </c:pt>
                <c:pt idx="6">
                  <c:v>Miscellaneous</c:v>
                </c:pt>
              </c:strCache>
            </c:strRef>
          </c:cat>
          <c:val>
            <c:numRef>
              <c:f>'Overview Dashboard'!$B$4:$B$10</c:f>
              <c:numCache>
                <c:formatCode>General</c:formatCode>
                <c:ptCount val="7"/>
                <c:pt idx="0">
                  <c:v>24</c:v>
                </c:pt>
                <c:pt idx="1">
                  <c:v>64</c:v>
                </c:pt>
                <c:pt idx="2">
                  <c:v>20</c:v>
                </c:pt>
                <c:pt idx="3">
                  <c:v>12</c:v>
                </c:pt>
                <c:pt idx="4">
                  <c:v>63</c:v>
                </c:pt>
                <c:pt idx="5">
                  <c:v>38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F-4D60-A209-83156D6B0C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06ED09-A396-4969-A5DE-ED0F5AA3B20B}" name="NewCatalog" displayName="NewCatalog" ref="A1:H226" totalsRowShown="0" headerRowDxfId="23" dataDxfId="22" tableBorderDxfId="21">
  <autoFilter ref="A1:H226" xr:uid="{F8FC7496-7DEE-4361-A000-6CD6DF5FFC17}"/>
  <sortState xmlns:xlrd2="http://schemas.microsoft.com/office/spreadsheetml/2017/richdata2" ref="B2:H226">
    <sortCondition ref="G1:G226"/>
  </sortState>
  <tableColumns count="8">
    <tableColumn id="8" xr3:uid="{6A4CC633-E8D0-47CA-B7D3-04164D2F2B1A}" name="Product ID" dataDxfId="20"/>
    <tableColumn id="1" xr3:uid="{E2BC13D0-D285-4A52-91A3-735B5D602043}" name="Product Name" dataDxfId="19"/>
    <tableColumn id="2" xr3:uid="{7C0C83B3-FA49-45C2-94F7-D85E9E8F00A8}" name="UPC" dataDxfId="18"/>
    <tableColumn id="3" xr3:uid="{57DD59FA-5271-44A7-8F49-D8273D837604}" name="Unit" dataDxfId="17"/>
    <tableColumn id="4" xr3:uid="{FFAC497D-AFEE-430C-9F67-C83B429DBE93}" name="Retail" dataDxfId="16" dataCellStyle="Comma"/>
    <tableColumn id="5" xr3:uid="{91A71557-8055-4A23-ACF4-C677814DCE05}" name="Wholesale" dataDxfId="15" dataCellStyle="Comma"/>
    <tableColumn id="6" xr3:uid="{335CCC3A-2EB0-44B9-AFB0-E4214166F361}" name="Category" dataDxfId="14"/>
    <tableColumn id="7" xr3:uid="{7A8FD0AA-73DD-43BE-BC40-AA5B9DC808C2}" name="Status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3AD1A-F403-458F-B06A-CF5A2C815EEE}" name="Catalog" displayName="Catalog" ref="A1:H197" totalsRowShown="0" headerRowDxfId="12" dataDxfId="10" headerRowBorderDxfId="11" tableBorderDxfId="9" totalsRowBorderDxfId="8">
  <autoFilter ref="A1:H197" xr:uid="{00000000-0009-0000-0000-000001000000}"/>
  <sortState xmlns:xlrd2="http://schemas.microsoft.com/office/spreadsheetml/2017/richdata2" ref="A2:H197">
    <sortCondition ref="G2:G197"/>
    <sortCondition ref="B2:B197"/>
  </sortState>
  <tableColumns count="8">
    <tableColumn id="8" xr3:uid="{6C9D66D7-955B-4BE8-8743-C35500A79B14}" name="Product ID" dataDxfId="7"/>
    <tableColumn id="1" xr3:uid="{A01E1F60-F2A0-490E-9B18-AED349613457}" name="Product Name" dataDxfId="6"/>
    <tableColumn id="4" xr3:uid="{9EB43A49-6152-4A1C-8E50-74A8F3FDFAA3}" name="UPC" dataDxfId="5"/>
    <tableColumn id="3" xr3:uid="{0D4ACD3E-DD2B-4292-BCE8-BD53F800A437}" name="Unit" dataDxfId="4"/>
    <tableColumn id="5" xr3:uid="{215BD38A-8606-49CE-8B35-8F7A7CDEAA0E}" name="Retail" dataDxfId="3"/>
    <tableColumn id="6" xr3:uid="{42777D72-CEAE-470F-9F2F-EA455148A594}" name="Wholesale" dataDxfId="2"/>
    <tableColumn id="2" xr3:uid="{7DAAA734-F71D-4107-A3D2-2F2FF1F81E90}" name="Category" dataDxfId="1"/>
    <tableColumn id="7" xr3:uid="{A5086B55-B281-4008-BD81-83A46E40E859}" name="Statu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6"/>
  <sheetViews>
    <sheetView workbookViewId="0">
      <selection activeCell="N10" sqref="N10"/>
    </sheetView>
  </sheetViews>
  <sheetFormatPr defaultRowHeight="15" x14ac:dyDescent="0.25"/>
  <cols>
    <col min="1" max="1" width="35" customWidth="1"/>
    <col min="2" max="2" width="16" customWidth="1"/>
  </cols>
  <sheetData>
    <row r="1" spans="1:2" ht="25.5" x14ac:dyDescent="0.5">
      <c r="A1" s="1" t="s">
        <v>0</v>
      </c>
    </row>
    <row r="3" spans="1:2" ht="16.5" x14ac:dyDescent="0.3">
      <c r="A3" s="2" t="s">
        <v>1</v>
      </c>
      <c r="B3" s="2" t="s">
        <v>2</v>
      </c>
    </row>
    <row r="4" spans="1:2" ht="16.5" x14ac:dyDescent="0.3">
      <c r="A4" s="3" t="s">
        <v>3</v>
      </c>
      <c r="B4" s="4">
        <f>COUNTIF(NewCatalog[Category],A4)</f>
        <v>24</v>
      </c>
    </row>
    <row r="5" spans="1:2" ht="16.5" x14ac:dyDescent="0.3">
      <c r="A5" s="5" t="s">
        <v>4</v>
      </c>
      <c r="B5" s="4">
        <f>COUNTIF(NewCatalog[Category],A5)</f>
        <v>64</v>
      </c>
    </row>
    <row r="6" spans="1:2" ht="16.5" x14ac:dyDescent="0.3">
      <c r="A6" s="3" t="s">
        <v>5</v>
      </c>
      <c r="B6" s="4">
        <f>COUNTIF(NewCatalog[Category],A6)</f>
        <v>20</v>
      </c>
    </row>
    <row r="7" spans="1:2" ht="16.5" x14ac:dyDescent="0.3">
      <c r="A7" s="5" t="s">
        <v>6</v>
      </c>
      <c r="B7" s="4">
        <f>COUNTIF(NewCatalog[Category],A7)</f>
        <v>12</v>
      </c>
    </row>
    <row r="8" spans="1:2" ht="16.5" x14ac:dyDescent="0.3">
      <c r="A8" s="3" t="s">
        <v>7</v>
      </c>
      <c r="B8" s="4">
        <f>COUNTIF(NewCatalog[Category],A8)</f>
        <v>63</v>
      </c>
    </row>
    <row r="9" spans="1:2" ht="16.5" x14ac:dyDescent="0.3">
      <c r="A9" s="5" t="s">
        <v>8</v>
      </c>
      <c r="B9" s="4">
        <f>COUNTIF(NewCatalog[Category],A9)</f>
        <v>38</v>
      </c>
    </row>
    <row r="10" spans="1:2" ht="16.5" x14ac:dyDescent="0.3">
      <c r="A10" s="3" t="s">
        <v>9</v>
      </c>
      <c r="B10" s="4">
        <f>COUNTIF(NewCatalog[Category],A10)</f>
        <v>4</v>
      </c>
    </row>
    <row r="11" spans="1:2" ht="16.5" x14ac:dyDescent="0.3">
      <c r="A11" s="6" t="s">
        <v>10</v>
      </c>
      <c r="B11" s="7">
        <f>SUM(B4:B10)</f>
        <v>225</v>
      </c>
    </row>
    <row r="14" spans="1:2" ht="18.75" x14ac:dyDescent="0.3">
      <c r="A14" s="13" t="s">
        <v>164</v>
      </c>
      <c r="B14" s="13">
        <f>COUNTIF(NewCatalog[Status],A14)</f>
        <v>46</v>
      </c>
    </row>
    <row r="16" spans="1:2" ht="18.75" x14ac:dyDescent="0.3">
      <c r="A16" s="14" t="s">
        <v>321</v>
      </c>
      <c r="B16" s="13">
        <f>B11-B14</f>
        <v>179</v>
      </c>
    </row>
  </sheetData>
  <pageMargins left="0.75" right="0.75" top="1" bottom="1" header="0.5" footer="0.5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5BC0-D9B4-44AD-A815-06FB0A29E7AB}">
  <dimension ref="A1:I226"/>
  <sheetViews>
    <sheetView tabSelected="1" topLeftCell="A141" zoomScaleNormal="100" workbookViewId="0">
      <selection activeCell="H150" sqref="H150"/>
    </sheetView>
  </sheetViews>
  <sheetFormatPr defaultRowHeight="15" outlineLevelCol="1" x14ac:dyDescent="0.25"/>
  <cols>
    <col min="1" max="1" width="14.42578125" bestFit="1" customWidth="1"/>
    <col min="2" max="2" width="34.42578125" bestFit="1" customWidth="1"/>
    <col min="3" max="3" width="6" customWidth="1"/>
    <col min="4" max="4" width="7.7109375" customWidth="1"/>
    <col min="5" max="5" width="10.7109375" bestFit="1" customWidth="1"/>
    <col min="6" max="6" width="11.85546875" customWidth="1"/>
    <col min="7" max="7" width="14.28515625" bestFit="1" customWidth="1"/>
    <col min="8" max="8" width="12.140625" hidden="1" customWidth="1" outlineLevel="1"/>
    <col min="9" max="9" width="9.140625" collapsed="1"/>
  </cols>
  <sheetData>
    <row r="1" spans="1:8" ht="26.25" customHeight="1" x14ac:dyDescent="0.25">
      <c r="A1" s="27" t="s">
        <v>170</v>
      </c>
      <c r="B1" s="27" t="s">
        <v>162</v>
      </c>
      <c r="C1" s="27" t="s">
        <v>169</v>
      </c>
      <c r="D1" s="27" t="s">
        <v>165</v>
      </c>
      <c r="E1" s="27" t="s">
        <v>167</v>
      </c>
      <c r="F1" s="27" t="s">
        <v>168</v>
      </c>
      <c r="G1" s="27" t="s">
        <v>1</v>
      </c>
      <c r="H1" s="27" t="s">
        <v>163</v>
      </c>
    </row>
    <row r="2" spans="1:8" ht="21" x14ac:dyDescent="0.25">
      <c r="A2" s="33" t="s">
        <v>171</v>
      </c>
      <c r="B2" s="33" t="s">
        <v>395</v>
      </c>
      <c r="C2" s="33">
        <v>6</v>
      </c>
      <c r="D2" s="33" t="s">
        <v>67</v>
      </c>
      <c r="E2" s="34">
        <v>96000</v>
      </c>
      <c r="F2" s="34">
        <v>94900</v>
      </c>
      <c r="G2" s="33" t="s">
        <v>6</v>
      </c>
      <c r="H2" s="33" t="s">
        <v>325</v>
      </c>
    </row>
    <row r="3" spans="1:8" ht="21" x14ac:dyDescent="0.25">
      <c r="A3" s="33" t="s">
        <v>172</v>
      </c>
      <c r="B3" s="33" t="s">
        <v>396</v>
      </c>
      <c r="C3" s="33">
        <v>6</v>
      </c>
      <c r="D3" s="33" t="s">
        <v>67</v>
      </c>
      <c r="E3" s="34">
        <v>66000</v>
      </c>
      <c r="F3" s="34">
        <v>65500</v>
      </c>
      <c r="G3" s="33" t="s">
        <v>6</v>
      </c>
      <c r="H3" s="33" t="s">
        <v>325</v>
      </c>
    </row>
    <row r="4" spans="1:8" ht="21" x14ac:dyDescent="0.25">
      <c r="A4" s="33" t="s">
        <v>173</v>
      </c>
      <c r="B4" s="33" t="s">
        <v>397</v>
      </c>
      <c r="C4" s="33">
        <v>8</v>
      </c>
      <c r="D4" s="33" t="s">
        <v>67</v>
      </c>
      <c r="E4" s="34">
        <v>121000</v>
      </c>
      <c r="F4" s="34">
        <v>0</v>
      </c>
      <c r="G4" s="33" t="s">
        <v>6</v>
      </c>
      <c r="H4" s="33" t="s">
        <v>164</v>
      </c>
    </row>
    <row r="5" spans="1:8" ht="21" x14ac:dyDescent="0.25">
      <c r="A5" s="33" t="s">
        <v>174</v>
      </c>
      <c r="B5" s="33" t="s">
        <v>398</v>
      </c>
      <c r="C5" s="33">
        <v>8</v>
      </c>
      <c r="D5" s="33" t="s">
        <v>67</v>
      </c>
      <c r="E5" s="34">
        <v>72000</v>
      </c>
      <c r="F5" s="34">
        <v>71000</v>
      </c>
      <c r="G5" s="33" t="s">
        <v>6</v>
      </c>
      <c r="H5" s="33" t="s">
        <v>325</v>
      </c>
    </row>
    <row r="6" spans="1:8" ht="21" x14ac:dyDescent="0.25">
      <c r="A6" s="33" t="s">
        <v>175</v>
      </c>
      <c r="B6" s="33" t="s">
        <v>399</v>
      </c>
      <c r="C6" s="33">
        <v>8</v>
      </c>
      <c r="D6" s="33" t="s">
        <v>67</v>
      </c>
      <c r="E6" s="34">
        <v>116500</v>
      </c>
      <c r="F6" s="34">
        <v>115500</v>
      </c>
      <c r="G6" s="33" t="s">
        <v>6</v>
      </c>
      <c r="H6" s="33" t="s">
        <v>325</v>
      </c>
    </row>
    <row r="7" spans="1:8" ht="21" x14ac:dyDescent="0.25">
      <c r="A7" s="33" t="s">
        <v>176</v>
      </c>
      <c r="B7" s="33" t="s">
        <v>400</v>
      </c>
      <c r="C7" s="33">
        <v>8</v>
      </c>
      <c r="D7" s="33" t="s">
        <v>67</v>
      </c>
      <c r="E7" s="34">
        <v>121000</v>
      </c>
      <c r="F7" s="34">
        <v>0</v>
      </c>
      <c r="G7" s="33" t="s">
        <v>6</v>
      </c>
      <c r="H7" s="33" t="s">
        <v>164</v>
      </c>
    </row>
    <row r="8" spans="1:8" ht="21" x14ac:dyDescent="0.25">
      <c r="A8" s="33" t="s">
        <v>177</v>
      </c>
      <c r="B8" s="33" t="s">
        <v>100</v>
      </c>
      <c r="C8" s="33">
        <v>12</v>
      </c>
      <c r="D8" s="33" t="s">
        <v>55</v>
      </c>
      <c r="E8" s="34">
        <v>39500</v>
      </c>
      <c r="F8" s="34">
        <v>38700</v>
      </c>
      <c r="G8" s="33" t="s">
        <v>6</v>
      </c>
      <c r="H8" s="33" t="s">
        <v>325</v>
      </c>
    </row>
    <row r="9" spans="1:8" ht="21" x14ac:dyDescent="0.25">
      <c r="A9" s="33" t="s">
        <v>178</v>
      </c>
      <c r="B9" s="33" t="s">
        <v>101</v>
      </c>
      <c r="C9" s="33">
        <v>12</v>
      </c>
      <c r="D9" s="33" t="s">
        <v>55</v>
      </c>
      <c r="E9" s="34">
        <v>38700</v>
      </c>
      <c r="F9" s="34">
        <v>38000</v>
      </c>
      <c r="G9" s="33" t="s">
        <v>6</v>
      </c>
      <c r="H9" s="33" t="s">
        <v>325</v>
      </c>
    </row>
    <row r="10" spans="1:8" ht="21" x14ac:dyDescent="0.25">
      <c r="A10" s="33" t="s">
        <v>179</v>
      </c>
      <c r="B10" s="33" t="s">
        <v>103</v>
      </c>
      <c r="C10" s="33"/>
      <c r="D10" s="33" t="s">
        <v>55</v>
      </c>
      <c r="E10" s="34">
        <v>75000</v>
      </c>
      <c r="F10" s="34">
        <v>0</v>
      </c>
      <c r="G10" s="33" t="s">
        <v>6</v>
      </c>
      <c r="H10" s="33" t="s">
        <v>164</v>
      </c>
    </row>
    <row r="11" spans="1:8" ht="21" x14ac:dyDescent="0.25">
      <c r="A11" s="33" t="s">
        <v>180</v>
      </c>
      <c r="B11" s="33" t="s">
        <v>102</v>
      </c>
      <c r="C11" s="33">
        <v>12</v>
      </c>
      <c r="D11" s="33" t="s">
        <v>55</v>
      </c>
      <c r="E11" s="34">
        <v>146000</v>
      </c>
      <c r="F11" s="34">
        <v>145500</v>
      </c>
      <c r="G11" s="33" t="s">
        <v>6</v>
      </c>
      <c r="H11" s="33" t="s">
        <v>325</v>
      </c>
    </row>
    <row r="12" spans="1:8" ht="21" x14ac:dyDescent="0.25">
      <c r="A12" s="33" t="s">
        <v>181</v>
      </c>
      <c r="B12" s="33" t="s">
        <v>104</v>
      </c>
      <c r="C12" s="33">
        <v>12</v>
      </c>
      <c r="D12" s="33" t="s">
        <v>55</v>
      </c>
      <c r="E12" s="34">
        <v>168600</v>
      </c>
      <c r="F12" s="34">
        <v>168000</v>
      </c>
      <c r="G12" s="33" t="s">
        <v>6</v>
      </c>
      <c r="H12" s="33" t="s">
        <v>325</v>
      </c>
    </row>
    <row r="13" spans="1:8" ht="21" x14ac:dyDescent="0.25">
      <c r="A13" s="33" t="s">
        <v>182</v>
      </c>
      <c r="B13" s="33" t="s">
        <v>475</v>
      </c>
      <c r="C13" s="33">
        <v>1</v>
      </c>
      <c r="D13" s="33" t="s">
        <v>106</v>
      </c>
      <c r="E13" s="34">
        <v>8200</v>
      </c>
      <c r="F13" s="34">
        <v>7800</v>
      </c>
      <c r="G13" s="33" t="s">
        <v>6</v>
      </c>
      <c r="H13" s="33" t="s">
        <v>325</v>
      </c>
    </row>
    <row r="14" spans="1:8" ht="21" x14ac:dyDescent="0.25">
      <c r="A14" s="33" t="s">
        <v>183</v>
      </c>
      <c r="B14" s="33" t="s">
        <v>386</v>
      </c>
      <c r="C14" s="33">
        <v>1</v>
      </c>
      <c r="D14" s="33" t="s">
        <v>39</v>
      </c>
      <c r="E14" s="34">
        <v>20000</v>
      </c>
      <c r="F14" s="34">
        <v>0</v>
      </c>
      <c r="G14" s="33" t="s">
        <v>5</v>
      </c>
      <c r="H14" s="33" t="s">
        <v>325</v>
      </c>
    </row>
    <row r="15" spans="1:8" ht="21" x14ac:dyDescent="0.25">
      <c r="A15" s="33" t="s">
        <v>184</v>
      </c>
      <c r="B15" s="33" t="s">
        <v>401</v>
      </c>
      <c r="C15" s="33">
        <v>1</v>
      </c>
      <c r="D15" s="33" t="s">
        <v>39</v>
      </c>
      <c r="E15" s="34">
        <v>61800</v>
      </c>
      <c r="F15" s="34">
        <v>0</v>
      </c>
      <c r="G15" s="33" t="s">
        <v>5</v>
      </c>
      <c r="H15" s="33" t="s">
        <v>164</v>
      </c>
    </row>
    <row r="16" spans="1:8" ht="21" x14ac:dyDescent="0.25">
      <c r="A16" s="33" t="s">
        <v>185</v>
      </c>
      <c r="B16" s="33" t="s">
        <v>409</v>
      </c>
      <c r="C16" s="33">
        <v>1</v>
      </c>
      <c r="D16" s="33" t="s">
        <v>67</v>
      </c>
      <c r="E16" s="34">
        <v>51000</v>
      </c>
      <c r="F16" s="34">
        <v>0</v>
      </c>
      <c r="G16" s="33" t="s">
        <v>5</v>
      </c>
      <c r="H16" s="33" t="s">
        <v>164</v>
      </c>
    </row>
    <row r="17" spans="1:8" ht="21" x14ac:dyDescent="0.25">
      <c r="A17" s="33" t="s">
        <v>186</v>
      </c>
      <c r="B17" s="33" t="s">
        <v>90</v>
      </c>
      <c r="C17" s="33">
        <v>1</v>
      </c>
      <c r="D17" s="33" t="s">
        <v>39</v>
      </c>
      <c r="E17" s="34">
        <v>94500</v>
      </c>
      <c r="F17" s="34">
        <v>94000</v>
      </c>
      <c r="G17" s="33" t="s">
        <v>5</v>
      </c>
      <c r="H17" s="33" t="s">
        <v>325</v>
      </c>
    </row>
    <row r="18" spans="1:8" ht="21" x14ac:dyDescent="0.25">
      <c r="A18" s="33" t="s">
        <v>187</v>
      </c>
      <c r="B18" s="33" t="s">
        <v>435</v>
      </c>
      <c r="C18" s="33">
        <v>12</v>
      </c>
      <c r="D18" s="33" t="s">
        <v>67</v>
      </c>
      <c r="E18" s="34">
        <v>5200</v>
      </c>
      <c r="F18" s="34">
        <v>4900</v>
      </c>
      <c r="G18" s="33" t="s">
        <v>5</v>
      </c>
      <c r="H18" s="33" t="s">
        <v>164</v>
      </c>
    </row>
    <row r="19" spans="1:8" ht="21" x14ac:dyDescent="0.25">
      <c r="A19" s="33" t="s">
        <v>188</v>
      </c>
      <c r="B19" s="33" t="s">
        <v>436</v>
      </c>
      <c r="C19" s="33">
        <v>12</v>
      </c>
      <c r="D19" s="33" t="s">
        <v>67</v>
      </c>
      <c r="E19" s="34">
        <v>5200</v>
      </c>
      <c r="F19" s="34">
        <v>4900</v>
      </c>
      <c r="G19" s="33" t="s">
        <v>5</v>
      </c>
      <c r="H19" s="33" t="s">
        <v>164</v>
      </c>
    </row>
    <row r="20" spans="1:8" ht="21" x14ac:dyDescent="0.25">
      <c r="A20" s="33" t="s">
        <v>189</v>
      </c>
      <c r="B20" s="33" t="s">
        <v>437</v>
      </c>
      <c r="C20" s="33">
        <v>12</v>
      </c>
      <c r="D20" s="33" t="s">
        <v>67</v>
      </c>
      <c r="E20" s="34">
        <v>5200</v>
      </c>
      <c r="F20" s="34">
        <v>4900</v>
      </c>
      <c r="G20" s="33" t="s">
        <v>5</v>
      </c>
      <c r="H20" s="33" t="s">
        <v>164</v>
      </c>
    </row>
    <row r="21" spans="1:8" ht="21" x14ac:dyDescent="0.25">
      <c r="A21" s="33" t="s">
        <v>190</v>
      </c>
      <c r="B21" s="33" t="s">
        <v>438</v>
      </c>
      <c r="C21" s="33">
        <v>12</v>
      </c>
      <c r="D21" s="33" t="s">
        <v>67</v>
      </c>
      <c r="E21" s="34">
        <v>5200</v>
      </c>
      <c r="F21" s="34">
        <v>4900</v>
      </c>
      <c r="G21" s="33" t="s">
        <v>5</v>
      </c>
      <c r="H21" s="33" t="s">
        <v>164</v>
      </c>
    </row>
    <row r="22" spans="1:8" ht="21" x14ac:dyDescent="0.25">
      <c r="A22" s="33" t="s">
        <v>191</v>
      </c>
      <c r="B22" s="33" t="s">
        <v>456</v>
      </c>
      <c r="C22" s="33">
        <v>12</v>
      </c>
      <c r="D22" s="33" t="s">
        <v>67</v>
      </c>
      <c r="E22" s="34">
        <v>7300</v>
      </c>
      <c r="F22" s="34">
        <v>7200</v>
      </c>
      <c r="G22" s="33" t="s">
        <v>5</v>
      </c>
      <c r="H22" s="33" t="s">
        <v>164</v>
      </c>
    </row>
    <row r="23" spans="1:8" ht="21" x14ac:dyDescent="0.25">
      <c r="A23" s="33" t="s">
        <v>192</v>
      </c>
      <c r="B23" s="33" t="s">
        <v>470</v>
      </c>
      <c r="C23" s="33">
        <v>1</v>
      </c>
      <c r="D23" s="33" t="s">
        <v>67</v>
      </c>
      <c r="E23" s="34">
        <v>12500</v>
      </c>
      <c r="F23" s="34">
        <v>12000</v>
      </c>
      <c r="G23" s="33" t="s">
        <v>5</v>
      </c>
      <c r="H23" s="33" t="s">
        <v>325</v>
      </c>
    </row>
    <row r="24" spans="1:8" ht="21" x14ac:dyDescent="0.25">
      <c r="A24" s="33" t="s">
        <v>193</v>
      </c>
      <c r="B24" s="33" t="s">
        <v>471</v>
      </c>
      <c r="C24" s="33">
        <v>1</v>
      </c>
      <c r="D24" s="33" t="s">
        <v>44</v>
      </c>
      <c r="E24" s="34">
        <v>17750</v>
      </c>
      <c r="F24" s="34">
        <v>17650</v>
      </c>
      <c r="G24" s="33" t="s">
        <v>5</v>
      </c>
      <c r="H24" s="33" t="s">
        <v>325</v>
      </c>
    </row>
    <row r="25" spans="1:8" ht="21" x14ac:dyDescent="0.25">
      <c r="A25" s="33" t="s">
        <v>194</v>
      </c>
      <c r="B25" s="33" t="s">
        <v>156</v>
      </c>
      <c r="C25" s="33">
        <v>1</v>
      </c>
      <c r="D25" s="33" t="s">
        <v>44</v>
      </c>
      <c r="E25" s="34">
        <v>16700</v>
      </c>
      <c r="F25" s="34">
        <v>16500</v>
      </c>
      <c r="G25" s="33" t="s">
        <v>5</v>
      </c>
      <c r="H25" s="33" t="s">
        <v>325</v>
      </c>
    </row>
    <row r="26" spans="1:8" ht="21" x14ac:dyDescent="0.25">
      <c r="A26" s="33" t="s">
        <v>195</v>
      </c>
      <c r="B26" s="33" t="s">
        <v>613</v>
      </c>
      <c r="C26" s="33">
        <v>1</v>
      </c>
      <c r="D26" s="33" t="s">
        <v>44</v>
      </c>
      <c r="E26" s="34">
        <v>31500</v>
      </c>
      <c r="F26" s="34">
        <v>31000</v>
      </c>
      <c r="G26" s="33" t="s">
        <v>5</v>
      </c>
      <c r="H26" s="33" t="s">
        <v>325</v>
      </c>
    </row>
    <row r="27" spans="1:8" ht="21" x14ac:dyDescent="0.25">
      <c r="A27" s="33" t="s">
        <v>196</v>
      </c>
      <c r="B27" s="33" t="s">
        <v>472</v>
      </c>
      <c r="C27" s="33">
        <v>1</v>
      </c>
      <c r="D27" s="33" t="s">
        <v>67</v>
      </c>
      <c r="E27" s="34">
        <v>25500</v>
      </c>
      <c r="F27" s="34">
        <v>0</v>
      </c>
      <c r="G27" s="33" t="s">
        <v>5</v>
      </c>
      <c r="H27" s="33" t="s">
        <v>325</v>
      </c>
    </row>
    <row r="28" spans="1:8" ht="21" x14ac:dyDescent="0.25">
      <c r="A28" s="33" t="s">
        <v>197</v>
      </c>
      <c r="B28" s="33" t="s">
        <v>473</v>
      </c>
      <c r="C28" s="33">
        <v>1</v>
      </c>
      <c r="D28" s="33" t="s">
        <v>39</v>
      </c>
      <c r="E28" s="34">
        <v>61800</v>
      </c>
      <c r="F28" s="34">
        <v>0</v>
      </c>
      <c r="G28" s="33" t="s">
        <v>5</v>
      </c>
      <c r="H28" s="33" t="s">
        <v>325</v>
      </c>
    </row>
    <row r="29" spans="1:8" ht="21" x14ac:dyDescent="0.25">
      <c r="A29" s="33" t="s">
        <v>198</v>
      </c>
      <c r="B29" s="33" t="s">
        <v>533</v>
      </c>
      <c r="C29" s="33">
        <v>12</v>
      </c>
      <c r="D29" s="33" t="s">
        <v>67</v>
      </c>
      <c r="E29" s="34">
        <v>14800</v>
      </c>
      <c r="F29" s="34">
        <v>14650</v>
      </c>
      <c r="G29" s="33" t="s">
        <v>5</v>
      </c>
      <c r="H29" s="33" t="s">
        <v>325</v>
      </c>
    </row>
    <row r="30" spans="1:8" ht="21" x14ac:dyDescent="0.25">
      <c r="A30" s="33" t="s">
        <v>199</v>
      </c>
      <c r="B30" s="33" t="s">
        <v>482</v>
      </c>
      <c r="C30" s="33">
        <v>1</v>
      </c>
      <c r="D30" s="33" t="s">
        <v>39</v>
      </c>
      <c r="E30" s="34">
        <v>30000</v>
      </c>
      <c r="F30" s="34">
        <v>29500</v>
      </c>
      <c r="G30" s="33" t="s">
        <v>5</v>
      </c>
      <c r="H30" s="33" t="s">
        <v>325</v>
      </c>
    </row>
    <row r="31" spans="1:8" ht="21" x14ac:dyDescent="0.25">
      <c r="A31" s="33" t="s">
        <v>200</v>
      </c>
      <c r="B31" s="33" t="s">
        <v>483</v>
      </c>
      <c r="C31" s="33">
        <v>1</v>
      </c>
      <c r="D31" s="33" t="s">
        <v>39</v>
      </c>
      <c r="E31" s="34">
        <v>30000</v>
      </c>
      <c r="F31" s="34">
        <v>29500</v>
      </c>
      <c r="G31" s="33" t="s">
        <v>5</v>
      </c>
      <c r="H31" s="33" t="s">
        <v>325</v>
      </c>
    </row>
    <row r="32" spans="1:8" ht="21" x14ac:dyDescent="0.25">
      <c r="A32" s="33" t="s">
        <v>201</v>
      </c>
      <c r="B32" s="33" t="s">
        <v>495</v>
      </c>
      <c r="C32" s="33">
        <v>24</v>
      </c>
      <c r="D32" s="33" t="s">
        <v>55</v>
      </c>
      <c r="E32" s="34">
        <v>60000</v>
      </c>
      <c r="F32" s="34">
        <v>0</v>
      </c>
      <c r="G32" s="33" t="s">
        <v>5</v>
      </c>
      <c r="H32" s="33" t="s">
        <v>164</v>
      </c>
    </row>
    <row r="33" spans="1:8" ht="21" x14ac:dyDescent="0.25">
      <c r="A33" s="33" t="s">
        <v>202</v>
      </c>
      <c r="B33" s="33" t="s">
        <v>324</v>
      </c>
      <c r="C33" s="33">
        <v>1</v>
      </c>
      <c r="D33" s="33" t="s">
        <v>538</v>
      </c>
      <c r="E33" s="34">
        <v>40500</v>
      </c>
      <c r="F33" s="34"/>
      <c r="G33" s="33" t="s">
        <v>5</v>
      </c>
      <c r="H33" s="33" t="s">
        <v>325</v>
      </c>
    </row>
    <row r="34" spans="1:8" ht="21" x14ac:dyDescent="0.25">
      <c r="A34" s="33" t="s">
        <v>203</v>
      </c>
      <c r="B34" s="33" t="s">
        <v>381</v>
      </c>
      <c r="C34" s="33">
        <v>280</v>
      </c>
      <c r="D34" s="33" t="s">
        <v>31</v>
      </c>
      <c r="E34" s="34">
        <v>2800</v>
      </c>
      <c r="F34" s="34">
        <v>0</v>
      </c>
      <c r="G34" s="33" t="s">
        <v>3</v>
      </c>
      <c r="H34" s="33" t="s">
        <v>325</v>
      </c>
    </row>
    <row r="35" spans="1:8" ht="21" x14ac:dyDescent="0.25">
      <c r="A35" s="33" t="s">
        <v>204</v>
      </c>
      <c r="B35" s="33" t="s">
        <v>382</v>
      </c>
      <c r="C35" s="33">
        <v>160</v>
      </c>
      <c r="D35" s="33" t="s">
        <v>31</v>
      </c>
      <c r="E35" s="34">
        <v>4300</v>
      </c>
      <c r="F35" s="34">
        <v>0</v>
      </c>
      <c r="G35" s="33" t="s">
        <v>3</v>
      </c>
      <c r="H35" s="33" t="s">
        <v>325</v>
      </c>
    </row>
    <row r="36" spans="1:8" ht="21" x14ac:dyDescent="0.25">
      <c r="A36" s="33" t="s">
        <v>205</v>
      </c>
      <c r="B36" s="33" t="s">
        <v>383</v>
      </c>
      <c r="C36" s="33">
        <v>140</v>
      </c>
      <c r="D36" s="33" t="s">
        <v>31</v>
      </c>
      <c r="E36" s="34">
        <v>5500</v>
      </c>
      <c r="F36" s="34">
        <v>0</v>
      </c>
      <c r="G36" s="33" t="s">
        <v>3</v>
      </c>
      <c r="H36" s="33" t="s">
        <v>325</v>
      </c>
    </row>
    <row r="37" spans="1:8" ht="21" x14ac:dyDescent="0.25">
      <c r="A37" s="33" t="s">
        <v>206</v>
      </c>
      <c r="B37" s="33" t="s">
        <v>390</v>
      </c>
      <c r="C37" s="33">
        <v>50</v>
      </c>
      <c r="D37" s="33" t="s">
        <v>12</v>
      </c>
      <c r="E37" s="34">
        <v>36000</v>
      </c>
      <c r="F37" s="34">
        <v>0</v>
      </c>
      <c r="G37" s="33" t="s">
        <v>3</v>
      </c>
      <c r="H37" s="33" t="s">
        <v>325</v>
      </c>
    </row>
    <row r="38" spans="1:8" ht="21" x14ac:dyDescent="0.25">
      <c r="A38" s="33" t="s">
        <v>207</v>
      </c>
      <c r="B38" s="33" t="s">
        <v>391</v>
      </c>
      <c r="C38" s="33">
        <v>50</v>
      </c>
      <c r="D38" s="33" t="s">
        <v>12</v>
      </c>
      <c r="E38" s="34">
        <v>35000</v>
      </c>
      <c r="F38" s="34">
        <v>0</v>
      </c>
      <c r="G38" s="33" t="s">
        <v>3</v>
      </c>
      <c r="H38" s="33" t="s">
        <v>164</v>
      </c>
    </row>
    <row r="39" spans="1:8" ht="21" x14ac:dyDescent="0.25">
      <c r="A39" s="33" t="s">
        <v>208</v>
      </c>
      <c r="B39" s="33" t="s">
        <v>24</v>
      </c>
      <c r="C39" s="33">
        <v>50</v>
      </c>
      <c r="D39" s="33" t="s">
        <v>12</v>
      </c>
      <c r="E39" s="34">
        <v>103000</v>
      </c>
      <c r="F39" s="34">
        <v>101500</v>
      </c>
      <c r="G39" s="33" t="s">
        <v>3</v>
      </c>
      <c r="H39" s="33" t="s">
        <v>325</v>
      </c>
    </row>
    <row r="40" spans="1:8" ht="21" x14ac:dyDescent="0.25">
      <c r="A40" s="33" t="s">
        <v>209</v>
      </c>
      <c r="B40" s="33" t="s">
        <v>23</v>
      </c>
      <c r="C40" s="33">
        <v>50</v>
      </c>
      <c r="D40" s="33" t="s">
        <v>12</v>
      </c>
      <c r="E40" s="34">
        <v>42000</v>
      </c>
      <c r="F40" s="34">
        <v>41500</v>
      </c>
      <c r="G40" s="33" t="s">
        <v>3</v>
      </c>
      <c r="H40" s="33" t="s">
        <v>325</v>
      </c>
    </row>
    <row r="41" spans="1:8" ht="21" x14ac:dyDescent="0.25">
      <c r="A41" s="33" t="s">
        <v>210</v>
      </c>
      <c r="B41" s="33" t="s">
        <v>413</v>
      </c>
      <c r="C41" s="33">
        <v>50</v>
      </c>
      <c r="D41" s="33" t="s">
        <v>12</v>
      </c>
      <c r="E41" s="34">
        <v>125000</v>
      </c>
      <c r="F41" s="34">
        <v>0</v>
      </c>
      <c r="G41" s="33" t="s">
        <v>3</v>
      </c>
      <c r="H41" s="33" t="s">
        <v>325</v>
      </c>
    </row>
    <row r="42" spans="1:8" ht="21" x14ac:dyDescent="0.25">
      <c r="A42" s="33" t="s">
        <v>211</v>
      </c>
      <c r="B42" s="33" t="s">
        <v>449</v>
      </c>
      <c r="C42" s="33">
        <v>50</v>
      </c>
      <c r="D42" s="33" t="s">
        <v>12</v>
      </c>
      <c r="E42" s="34"/>
      <c r="F42" s="34">
        <v>0</v>
      </c>
      <c r="G42" s="33" t="s">
        <v>3</v>
      </c>
      <c r="H42" s="33" t="s">
        <v>164</v>
      </c>
    </row>
    <row r="43" spans="1:8" ht="21" x14ac:dyDescent="0.25">
      <c r="A43" s="33" t="s">
        <v>212</v>
      </c>
      <c r="B43" s="33" t="s">
        <v>450</v>
      </c>
      <c r="C43" s="33">
        <v>50</v>
      </c>
      <c r="D43" s="33" t="s">
        <v>12</v>
      </c>
      <c r="E43" s="34">
        <v>30000</v>
      </c>
      <c r="F43" s="34">
        <v>0</v>
      </c>
      <c r="G43" s="33" t="s">
        <v>3</v>
      </c>
      <c r="H43" s="33" t="s">
        <v>325</v>
      </c>
    </row>
    <row r="44" spans="1:8" ht="21" x14ac:dyDescent="0.25">
      <c r="A44" s="33" t="s">
        <v>213</v>
      </c>
      <c r="B44" s="33" t="s">
        <v>454</v>
      </c>
      <c r="C44" s="33"/>
      <c r="D44" s="33" t="s">
        <v>380</v>
      </c>
      <c r="E44" s="34">
        <v>0</v>
      </c>
      <c r="F44" s="34">
        <v>0</v>
      </c>
      <c r="G44" s="33" t="s">
        <v>3</v>
      </c>
      <c r="H44" s="33" t="s">
        <v>164</v>
      </c>
    </row>
    <row r="45" spans="1:8" ht="21" x14ac:dyDescent="0.25">
      <c r="A45" s="33" t="s">
        <v>214</v>
      </c>
      <c r="B45" s="33" t="s">
        <v>455</v>
      </c>
      <c r="C45" s="33">
        <v>50</v>
      </c>
      <c r="D45" s="33" t="s">
        <v>614</v>
      </c>
      <c r="E45" s="34">
        <v>25000</v>
      </c>
      <c r="F45" s="34">
        <v>0</v>
      </c>
      <c r="G45" s="33" t="s">
        <v>3</v>
      </c>
      <c r="H45" s="33" t="s">
        <v>325</v>
      </c>
    </row>
    <row r="46" spans="1:8" ht="21" x14ac:dyDescent="0.25">
      <c r="A46" s="33" t="s">
        <v>215</v>
      </c>
      <c r="B46" s="33" t="s">
        <v>13</v>
      </c>
      <c r="C46" s="33">
        <v>50</v>
      </c>
      <c r="D46" s="33" t="s">
        <v>12</v>
      </c>
      <c r="E46" s="34">
        <v>35000</v>
      </c>
      <c r="F46" s="34">
        <v>0</v>
      </c>
      <c r="G46" s="33" t="s">
        <v>3</v>
      </c>
      <c r="H46" s="33" t="s">
        <v>325</v>
      </c>
    </row>
    <row r="47" spans="1:8" ht="21" x14ac:dyDescent="0.25">
      <c r="A47" s="33" t="s">
        <v>216</v>
      </c>
      <c r="B47" s="33" t="s">
        <v>459</v>
      </c>
      <c r="C47" s="33">
        <v>50</v>
      </c>
      <c r="D47" s="33" t="s">
        <v>12</v>
      </c>
      <c r="E47" s="34">
        <v>17500</v>
      </c>
      <c r="F47" s="34">
        <v>17000</v>
      </c>
      <c r="G47" s="33" t="s">
        <v>3</v>
      </c>
      <c r="H47" s="33" t="s">
        <v>325</v>
      </c>
    </row>
    <row r="48" spans="1:8" ht="21" x14ac:dyDescent="0.25">
      <c r="A48" s="33" t="s">
        <v>217</v>
      </c>
      <c r="B48" s="33" t="s">
        <v>460</v>
      </c>
      <c r="C48" s="33">
        <v>50</v>
      </c>
      <c r="D48" s="33" t="s">
        <v>12</v>
      </c>
      <c r="E48" s="34">
        <v>29000</v>
      </c>
      <c r="F48" s="34">
        <v>28500</v>
      </c>
      <c r="G48" s="33" t="s">
        <v>3</v>
      </c>
      <c r="H48" s="33" t="s">
        <v>325</v>
      </c>
    </row>
    <row r="49" spans="1:8" ht="21" x14ac:dyDescent="0.25">
      <c r="A49" s="33" t="s">
        <v>218</v>
      </c>
      <c r="B49" s="33" t="s">
        <v>461</v>
      </c>
      <c r="C49" s="33">
        <v>50</v>
      </c>
      <c r="D49" s="33" t="s">
        <v>12</v>
      </c>
      <c r="E49" s="34">
        <v>22000</v>
      </c>
      <c r="F49" s="34">
        <v>21500</v>
      </c>
      <c r="G49" s="33" t="s">
        <v>3</v>
      </c>
      <c r="H49" s="33" t="s">
        <v>325</v>
      </c>
    </row>
    <row r="50" spans="1:8" ht="21" x14ac:dyDescent="0.25">
      <c r="A50" s="33" t="s">
        <v>219</v>
      </c>
      <c r="B50" s="33" t="s">
        <v>14</v>
      </c>
      <c r="C50" s="33">
        <v>50</v>
      </c>
      <c r="D50" s="33" t="s">
        <v>12</v>
      </c>
      <c r="E50" s="34">
        <v>35000</v>
      </c>
      <c r="F50" s="34">
        <v>0</v>
      </c>
      <c r="G50" s="33" t="s">
        <v>3</v>
      </c>
      <c r="H50" s="33" t="s">
        <v>325</v>
      </c>
    </row>
    <row r="51" spans="1:8" ht="21" x14ac:dyDescent="0.25">
      <c r="A51" s="33" t="s">
        <v>220</v>
      </c>
      <c r="B51" s="33" t="s">
        <v>462</v>
      </c>
      <c r="C51" s="33">
        <v>50</v>
      </c>
      <c r="D51" s="33" t="s">
        <v>12</v>
      </c>
      <c r="E51" s="34">
        <v>17500</v>
      </c>
      <c r="F51" s="34">
        <v>17000</v>
      </c>
      <c r="G51" s="33" t="s">
        <v>3</v>
      </c>
      <c r="H51" s="33" t="s">
        <v>325</v>
      </c>
    </row>
    <row r="52" spans="1:8" ht="21" x14ac:dyDescent="0.25">
      <c r="A52" s="33" t="s">
        <v>221</v>
      </c>
      <c r="B52" s="33" t="s">
        <v>463</v>
      </c>
      <c r="C52" s="33">
        <v>50</v>
      </c>
      <c r="D52" s="33" t="s">
        <v>12</v>
      </c>
      <c r="E52" s="34">
        <v>29000</v>
      </c>
      <c r="F52" s="34">
        <v>28500</v>
      </c>
      <c r="G52" s="33" t="s">
        <v>3</v>
      </c>
      <c r="H52" s="33" t="s">
        <v>325</v>
      </c>
    </row>
    <row r="53" spans="1:8" ht="21" x14ac:dyDescent="0.25">
      <c r="A53" s="33" t="s">
        <v>222</v>
      </c>
      <c r="B53" s="33" t="s">
        <v>464</v>
      </c>
      <c r="C53" s="33">
        <v>50</v>
      </c>
      <c r="D53" s="33" t="s">
        <v>12</v>
      </c>
      <c r="E53" s="34">
        <v>22000</v>
      </c>
      <c r="F53" s="34">
        <v>21500</v>
      </c>
      <c r="G53" s="33" t="s">
        <v>3</v>
      </c>
      <c r="H53" s="33" t="s">
        <v>325</v>
      </c>
    </row>
    <row r="54" spans="1:8" ht="21" x14ac:dyDescent="0.25">
      <c r="A54" s="33" t="s">
        <v>223</v>
      </c>
      <c r="B54" s="33" t="s">
        <v>28</v>
      </c>
      <c r="C54" s="33">
        <v>50</v>
      </c>
      <c r="D54" s="33" t="s">
        <v>12</v>
      </c>
      <c r="E54" s="34">
        <v>23000</v>
      </c>
      <c r="F54" s="34">
        <v>0</v>
      </c>
      <c r="G54" s="33" t="s">
        <v>3</v>
      </c>
      <c r="H54" s="33" t="s">
        <v>164</v>
      </c>
    </row>
    <row r="55" spans="1:8" ht="21" x14ac:dyDescent="0.25">
      <c r="A55" s="33" t="s">
        <v>224</v>
      </c>
      <c r="B55" s="33" t="s">
        <v>498</v>
      </c>
      <c r="C55" s="33">
        <v>50</v>
      </c>
      <c r="D55" s="33" t="s">
        <v>12</v>
      </c>
      <c r="E55" s="34">
        <v>8700</v>
      </c>
      <c r="F55" s="34">
        <v>8500</v>
      </c>
      <c r="G55" s="33" t="s">
        <v>3</v>
      </c>
      <c r="H55" s="33" t="s">
        <v>164</v>
      </c>
    </row>
    <row r="56" spans="1:8" ht="21" x14ac:dyDescent="0.25">
      <c r="A56" s="33" t="s">
        <v>225</v>
      </c>
      <c r="B56" s="33" t="s">
        <v>499</v>
      </c>
      <c r="C56" s="33">
        <v>50</v>
      </c>
      <c r="D56" s="33" t="s">
        <v>12</v>
      </c>
      <c r="E56" s="34">
        <v>9700</v>
      </c>
      <c r="F56" s="34">
        <v>9500</v>
      </c>
      <c r="G56" s="33" t="s">
        <v>3</v>
      </c>
      <c r="H56" s="33" t="s">
        <v>325</v>
      </c>
    </row>
    <row r="57" spans="1:8" ht="21" x14ac:dyDescent="0.25">
      <c r="A57" s="33" t="s">
        <v>226</v>
      </c>
      <c r="B57" s="33" t="s">
        <v>494</v>
      </c>
      <c r="C57" s="33">
        <v>1</v>
      </c>
      <c r="D57" s="33" t="s">
        <v>12</v>
      </c>
      <c r="E57" s="34">
        <v>165000</v>
      </c>
      <c r="F57" s="34">
        <v>0</v>
      </c>
      <c r="G57" s="33" t="s">
        <v>3</v>
      </c>
      <c r="H57" s="33" t="s">
        <v>325</v>
      </c>
    </row>
    <row r="58" spans="1:8" ht="21" x14ac:dyDescent="0.25">
      <c r="A58" s="33" t="s">
        <v>227</v>
      </c>
      <c r="B58" s="33" t="s">
        <v>378</v>
      </c>
      <c r="C58" s="33">
        <v>12</v>
      </c>
      <c r="D58" s="33" t="s">
        <v>55</v>
      </c>
      <c r="E58" s="34">
        <v>11500</v>
      </c>
      <c r="F58" s="34">
        <v>11300</v>
      </c>
      <c r="G58" s="33" t="s">
        <v>4</v>
      </c>
      <c r="H58" s="33" t="s">
        <v>325</v>
      </c>
    </row>
    <row r="59" spans="1:8" ht="21" x14ac:dyDescent="0.25">
      <c r="A59" s="33" t="s">
        <v>228</v>
      </c>
      <c r="B59" s="33" t="s">
        <v>60</v>
      </c>
      <c r="C59" s="33">
        <v>12</v>
      </c>
      <c r="D59" s="33" t="s">
        <v>55</v>
      </c>
      <c r="E59" s="34">
        <v>11500</v>
      </c>
      <c r="F59" s="34">
        <v>11300</v>
      </c>
      <c r="G59" s="33" t="s">
        <v>4</v>
      </c>
      <c r="H59" s="33" t="s">
        <v>325</v>
      </c>
    </row>
    <row r="60" spans="1:8" ht="21" x14ac:dyDescent="0.25">
      <c r="A60" s="33" t="s">
        <v>229</v>
      </c>
      <c r="B60" s="33" t="s">
        <v>63</v>
      </c>
      <c r="C60" s="33">
        <v>12</v>
      </c>
      <c r="D60" s="33" t="s">
        <v>55</v>
      </c>
      <c r="E60" s="34">
        <v>11500</v>
      </c>
      <c r="F60" s="34">
        <v>11300</v>
      </c>
      <c r="G60" s="33" t="s">
        <v>4</v>
      </c>
      <c r="H60" s="33" t="s">
        <v>325</v>
      </c>
    </row>
    <row r="61" spans="1:8" ht="21" x14ac:dyDescent="0.25">
      <c r="A61" s="33" t="s">
        <v>230</v>
      </c>
      <c r="B61" s="33" t="s">
        <v>160</v>
      </c>
      <c r="C61" s="33">
        <v>12</v>
      </c>
      <c r="D61" s="33" t="s">
        <v>55</v>
      </c>
      <c r="E61" s="34">
        <v>11500</v>
      </c>
      <c r="F61" s="34">
        <v>11300</v>
      </c>
      <c r="G61" s="33" t="s">
        <v>4</v>
      </c>
      <c r="H61" s="33" t="s">
        <v>325</v>
      </c>
    </row>
    <row r="62" spans="1:8" ht="21" x14ac:dyDescent="0.25">
      <c r="A62" s="33" t="s">
        <v>231</v>
      </c>
      <c r="B62" s="33" t="s">
        <v>64</v>
      </c>
      <c r="C62" s="33">
        <v>12</v>
      </c>
      <c r="D62" s="33" t="s">
        <v>55</v>
      </c>
      <c r="E62" s="34">
        <v>11500</v>
      </c>
      <c r="F62" s="34">
        <v>11300</v>
      </c>
      <c r="G62" s="33" t="s">
        <v>4</v>
      </c>
      <c r="H62" s="33" t="s">
        <v>325</v>
      </c>
    </row>
    <row r="63" spans="1:8" ht="21" x14ac:dyDescent="0.25">
      <c r="A63" s="33" t="s">
        <v>232</v>
      </c>
      <c r="B63" s="33" t="s">
        <v>62</v>
      </c>
      <c r="C63" s="33">
        <v>12</v>
      </c>
      <c r="D63" s="33" t="s">
        <v>55</v>
      </c>
      <c r="E63" s="34">
        <v>11500</v>
      </c>
      <c r="F63" s="34">
        <v>11300</v>
      </c>
      <c r="G63" s="33" t="s">
        <v>4</v>
      </c>
      <c r="H63" s="33" t="s">
        <v>325</v>
      </c>
    </row>
    <row r="64" spans="1:8" ht="21" x14ac:dyDescent="0.25">
      <c r="A64" s="33" t="s">
        <v>233</v>
      </c>
      <c r="B64" s="33" t="s">
        <v>379</v>
      </c>
      <c r="C64" s="33"/>
      <c r="D64" s="33" t="s">
        <v>380</v>
      </c>
      <c r="E64" s="34">
        <v>0</v>
      </c>
      <c r="F64" s="34">
        <v>0</v>
      </c>
      <c r="G64" s="33" t="s">
        <v>4</v>
      </c>
      <c r="H64" s="33" t="s">
        <v>164</v>
      </c>
    </row>
    <row r="65" spans="1:8" ht="21" x14ac:dyDescent="0.25">
      <c r="A65" s="33" t="s">
        <v>234</v>
      </c>
      <c r="B65" s="33" t="s">
        <v>385</v>
      </c>
      <c r="C65" s="33">
        <v>12</v>
      </c>
      <c r="D65" s="33" t="s">
        <v>36</v>
      </c>
      <c r="E65" s="34">
        <v>7200</v>
      </c>
      <c r="F65" s="34">
        <v>0</v>
      </c>
      <c r="G65" s="33" t="s">
        <v>4</v>
      </c>
      <c r="H65" s="33" t="s">
        <v>164</v>
      </c>
    </row>
    <row r="66" spans="1:8" ht="21" x14ac:dyDescent="0.25">
      <c r="A66" s="33" t="s">
        <v>235</v>
      </c>
      <c r="B66" s="33" t="s">
        <v>389</v>
      </c>
      <c r="C66" s="33">
        <v>1</v>
      </c>
      <c r="D66" s="33" t="s">
        <v>55</v>
      </c>
      <c r="E66" s="34">
        <v>9300</v>
      </c>
      <c r="F66" s="34">
        <v>9000</v>
      </c>
      <c r="G66" s="33" t="s">
        <v>4</v>
      </c>
      <c r="H66" s="33" t="s">
        <v>325</v>
      </c>
    </row>
    <row r="67" spans="1:8" ht="21" x14ac:dyDescent="0.25">
      <c r="A67" s="33" t="s">
        <v>236</v>
      </c>
      <c r="B67" s="33" t="s">
        <v>392</v>
      </c>
      <c r="C67" s="33">
        <v>36</v>
      </c>
      <c r="D67" s="33" t="s">
        <v>36</v>
      </c>
      <c r="E67" s="34">
        <v>800</v>
      </c>
      <c r="F67" s="34">
        <v>770</v>
      </c>
      <c r="G67" s="33" t="s">
        <v>4</v>
      </c>
      <c r="H67" s="33" t="s">
        <v>325</v>
      </c>
    </row>
    <row r="68" spans="1:8" ht="21" x14ac:dyDescent="0.25">
      <c r="A68" s="33" t="s">
        <v>237</v>
      </c>
      <c r="B68" s="33" t="s">
        <v>393</v>
      </c>
      <c r="C68" s="33">
        <v>36</v>
      </c>
      <c r="D68" s="33" t="s">
        <v>36</v>
      </c>
      <c r="E68" s="34">
        <v>800</v>
      </c>
      <c r="F68" s="34">
        <v>770</v>
      </c>
      <c r="G68" s="33" t="s">
        <v>4</v>
      </c>
      <c r="H68" s="33" t="s">
        <v>325</v>
      </c>
    </row>
    <row r="69" spans="1:8" ht="21" x14ac:dyDescent="0.25">
      <c r="A69" s="33" t="s">
        <v>238</v>
      </c>
      <c r="B69" s="33" t="s">
        <v>394</v>
      </c>
      <c r="C69" s="33">
        <v>7</v>
      </c>
      <c r="D69" s="33" t="s">
        <v>322</v>
      </c>
      <c r="E69" s="34">
        <v>15300</v>
      </c>
      <c r="F69" s="34">
        <v>0</v>
      </c>
      <c r="G69" s="33" t="s">
        <v>4</v>
      </c>
      <c r="H69" s="33" t="s">
        <v>325</v>
      </c>
    </row>
    <row r="70" spans="1:8" ht="21" x14ac:dyDescent="0.25">
      <c r="A70" s="33" t="s">
        <v>239</v>
      </c>
      <c r="B70" s="33" t="s">
        <v>374</v>
      </c>
      <c r="C70" s="33">
        <v>16</v>
      </c>
      <c r="D70" s="33" t="s">
        <v>55</v>
      </c>
      <c r="E70" s="34">
        <v>16000</v>
      </c>
      <c r="F70" s="34">
        <v>15500</v>
      </c>
      <c r="G70" s="33" t="s">
        <v>4</v>
      </c>
      <c r="H70" s="33" t="s">
        <v>164</v>
      </c>
    </row>
    <row r="71" spans="1:8" ht="21" x14ac:dyDescent="0.25">
      <c r="A71" s="33" t="s">
        <v>240</v>
      </c>
      <c r="B71" s="33" t="s">
        <v>408</v>
      </c>
      <c r="C71" s="33">
        <v>12</v>
      </c>
      <c r="D71" s="33" t="s">
        <v>39</v>
      </c>
      <c r="E71" s="34">
        <v>15700</v>
      </c>
      <c r="F71" s="34">
        <v>15400</v>
      </c>
      <c r="G71" s="33" t="s">
        <v>4</v>
      </c>
      <c r="H71" s="33" t="s">
        <v>325</v>
      </c>
    </row>
    <row r="72" spans="1:8" ht="21" x14ac:dyDescent="0.25">
      <c r="A72" s="33" t="s">
        <v>241</v>
      </c>
      <c r="B72" s="33" t="s">
        <v>412</v>
      </c>
      <c r="C72" s="33">
        <v>10</v>
      </c>
      <c r="D72" s="33" t="s">
        <v>36</v>
      </c>
      <c r="E72" s="34">
        <v>7700</v>
      </c>
      <c r="F72" s="34">
        <v>7640</v>
      </c>
      <c r="G72" s="33" t="s">
        <v>4</v>
      </c>
      <c r="H72" s="33" t="s">
        <v>325</v>
      </c>
    </row>
    <row r="73" spans="1:8" ht="21" x14ac:dyDescent="0.25">
      <c r="A73" s="33" t="s">
        <v>242</v>
      </c>
      <c r="B73" s="33" t="s">
        <v>414</v>
      </c>
      <c r="C73" s="33">
        <v>1</v>
      </c>
      <c r="D73" s="33" t="s">
        <v>55</v>
      </c>
      <c r="E73" s="34">
        <v>9300</v>
      </c>
      <c r="F73" s="34">
        <v>9000</v>
      </c>
      <c r="G73" s="33" t="s">
        <v>4</v>
      </c>
      <c r="H73" s="33" t="s">
        <v>325</v>
      </c>
    </row>
    <row r="74" spans="1:8" ht="21" x14ac:dyDescent="0.25">
      <c r="A74" s="33" t="s">
        <v>243</v>
      </c>
      <c r="B74" s="33" t="s">
        <v>415</v>
      </c>
      <c r="C74" s="33">
        <v>1</v>
      </c>
      <c r="D74" s="33" t="s">
        <v>55</v>
      </c>
      <c r="E74" s="34">
        <v>9300</v>
      </c>
      <c r="F74" s="34">
        <v>9000</v>
      </c>
      <c r="G74" s="33" t="s">
        <v>4</v>
      </c>
      <c r="H74" s="33" t="s">
        <v>325</v>
      </c>
    </row>
    <row r="75" spans="1:8" ht="21" x14ac:dyDescent="0.25">
      <c r="A75" s="33" t="s">
        <v>244</v>
      </c>
      <c r="B75" s="33" t="s">
        <v>418</v>
      </c>
      <c r="C75" s="33">
        <v>1</v>
      </c>
      <c r="D75" s="33" t="s">
        <v>55</v>
      </c>
      <c r="E75" s="34">
        <v>7100</v>
      </c>
      <c r="F75" s="34">
        <v>6950</v>
      </c>
      <c r="G75" s="33" t="s">
        <v>4</v>
      </c>
      <c r="H75" s="33" t="s">
        <v>325</v>
      </c>
    </row>
    <row r="76" spans="1:8" ht="21" x14ac:dyDescent="0.25">
      <c r="A76" s="33" t="s">
        <v>245</v>
      </c>
      <c r="B76" s="33" t="s">
        <v>419</v>
      </c>
      <c r="C76" s="33">
        <v>1</v>
      </c>
      <c r="D76" s="33" t="s">
        <v>55</v>
      </c>
      <c r="E76" s="34">
        <v>7100</v>
      </c>
      <c r="F76" s="34">
        <v>6950</v>
      </c>
      <c r="G76" s="33" t="s">
        <v>4</v>
      </c>
      <c r="H76" s="33" t="s">
        <v>325</v>
      </c>
    </row>
    <row r="77" spans="1:8" ht="21" x14ac:dyDescent="0.25">
      <c r="A77" s="33" t="s">
        <v>246</v>
      </c>
      <c r="B77" s="33" t="s">
        <v>423</v>
      </c>
      <c r="C77" s="33">
        <v>4</v>
      </c>
      <c r="D77" s="33" t="s">
        <v>322</v>
      </c>
      <c r="E77" s="34">
        <v>37800</v>
      </c>
      <c r="F77" s="34">
        <v>0</v>
      </c>
      <c r="G77" s="33" t="s">
        <v>4</v>
      </c>
      <c r="H77" s="33" t="s">
        <v>325</v>
      </c>
    </row>
    <row r="78" spans="1:8" ht="21" x14ac:dyDescent="0.25">
      <c r="A78" s="33" t="s">
        <v>247</v>
      </c>
      <c r="B78" s="33" t="s">
        <v>424</v>
      </c>
      <c r="C78" s="33"/>
      <c r="D78" s="33" t="s">
        <v>380</v>
      </c>
      <c r="E78" s="34">
        <v>25000</v>
      </c>
      <c r="F78" s="34">
        <v>0</v>
      </c>
      <c r="G78" s="33" t="s">
        <v>4</v>
      </c>
      <c r="H78" s="33" t="s">
        <v>164</v>
      </c>
    </row>
    <row r="79" spans="1:8" ht="21" x14ac:dyDescent="0.25">
      <c r="A79" s="33" t="s">
        <v>248</v>
      </c>
      <c r="B79" s="33" t="s">
        <v>534</v>
      </c>
      <c r="C79" s="33">
        <v>1</v>
      </c>
      <c r="D79" s="33" t="s">
        <v>55</v>
      </c>
      <c r="E79" s="34">
        <v>7100</v>
      </c>
      <c r="F79" s="34">
        <v>6950</v>
      </c>
      <c r="G79" s="33" t="s">
        <v>4</v>
      </c>
      <c r="H79" s="33" t="s">
        <v>325</v>
      </c>
    </row>
    <row r="80" spans="1:8" ht="21" x14ac:dyDescent="0.25">
      <c r="A80" s="33" t="s">
        <v>249</v>
      </c>
      <c r="B80" s="33" t="s">
        <v>535</v>
      </c>
      <c r="C80" s="33">
        <v>1</v>
      </c>
      <c r="D80" s="33" t="s">
        <v>55</v>
      </c>
      <c r="E80" s="34">
        <v>7100</v>
      </c>
      <c r="F80" s="34">
        <v>6950</v>
      </c>
      <c r="G80" s="33" t="s">
        <v>4</v>
      </c>
      <c r="H80" s="33" t="s">
        <v>325</v>
      </c>
    </row>
    <row r="81" spans="1:8" ht="21" x14ac:dyDescent="0.25">
      <c r="A81" s="33" t="s">
        <v>250</v>
      </c>
      <c r="B81" s="33" t="s">
        <v>425</v>
      </c>
      <c r="C81" s="33"/>
      <c r="D81" s="33" t="s">
        <v>380</v>
      </c>
      <c r="E81" s="34">
        <v>0</v>
      </c>
      <c r="F81" s="34">
        <v>0</v>
      </c>
      <c r="G81" s="33" t="s">
        <v>4</v>
      </c>
      <c r="H81" s="33" t="s">
        <v>164</v>
      </c>
    </row>
    <row r="82" spans="1:8" ht="21" x14ac:dyDescent="0.25">
      <c r="A82" s="33" t="s">
        <v>251</v>
      </c>
      <c r="B82" s="33" t="s">
        <v>426</v>
      </c>
      <c r="C82" s="33"/>
      <c r="D82" s="33" t="s">
        <v>380</v>
      </c>
      <c r="E82" s="34">
        <v>0</v>
      </c>
      <c r="F82" s="34">
        <v>0</v>
      </c>
      <c r="G82" s="33" t="s">
        <v>4</v>
      </c>
      <c r="H82" s="33" t="s">
        <v>164</v>
      </c>
    </row>
    <row r="83" spans="1:8" ht="21" x14ac:dyDescent="0.25">
      <c r="A83" s="33" t="s">
        <v>252</v>
      </c>
      <c r="B83" s="33" t="s">
        <v>427</v>
      </c>
      <c r="C83" s="33"/>
      <c r="D83" s="33" t="s">
        <v>380</v>
      </c>
      <c r="E83" s="34">
        <v>0</v>
      </c>
      <c r="F83" s="34">
        <v>0</v>
      </c>
      <c r="G83" s="33" t="s">
        <v>4</v>
      </c>
      <c r="H83" s="33" t="s">
        <v>164</v>
      </c>
    </row>
    <row r="84" spans="1:8" ht="21" x14ac:dyDescent="0.25">
      <c r="A84" s="33" t="s">
        <v>253</v>
      </c>
      <c r="B84" s="33" t="s">
        <v>428</v>
      </c>
      <c r="C84" s="33"/>
      <c r="D84" s="33" t="s">
        <v>380</v>
      </c>
      <c r="E84" s="34">
        <v>0</v>
      </c>
      <c r="F84" s="34">
        <v>0</v>
      </c>
      <c r="G84" s="33" t="s">
        <v>4</v>
      </c>
      <c r="H84" s="33" t="s">
        <v>164</v>
      </c>
    </row>
    <row r="85" spans="1:8" ht="21" x14ac:dyDescent="0.25">
      <c r="A85" s="33" t="s">
        <v>254</v>
      </c>
      <c r="B85" s="33" t="s">
        <v>429</v>
      </c>
      <c r="C85" s="33">
        <v>1</v>
      </c>
      <c r="D85" s="33" t="s">
        <v>39</v>
      </c>
      <c r="E85" s="34">
        <v>26000</v>
      </c>
      <c r="F85" s="34">
        <v>0</v>
      </c>
      <c r="G85" s="33" t="s">
        <v>4</v>
      </c>
      <c r="H85" s="33" t="s">
        <v>325</v>
      </c>
    </row>
    <row r="86" spans="1:8" ht="21" x14ac:dyDescent="0.25">
      <c r="A86" s="33" t="s">
        <v>255</v>
      </c>
      <c r="B86" s="33" t="s">
        <v>430</v>
      </c>
      <c r="C86" s="33"/>
      <c r="D86" s="33" t="s">
        <v>380</v>
      </c>
      <c r="E86" s="34">
        <v>0</v>
      </c>
      <c r="F86" s="34">
        <v>0</v>
      </c>
      <c r="G86" s="33" t="s">
        <v>4</v>
      </c>
      <c r="H86" s="33" t="s">
        <v>325</v>
      </c>
    </row>
    <row r="87" spans="1:8" ht="21" x14ac:dyDescent="0.25">
      <c r="A87" s="33" t="s">
        <v>375</v>
      </c>
      <c r="B87" s="33" t="s">
        <v>431</v>
      </c>
      <c r="C87" s="33">
        <v>1</v>
      </c>
      <c r="D87" s="33" t="s">
        <v>55</v>
      </c>
      <c r="E87" s="34">
        <v>9500</v>
      </c>
      <c r="F87" s="34">
        <v>9300</v>
      </c>
      <c r="G87" s="33" t="s">
        <v>4</v>
      </c>
      <c r="H87" s="33" t="s">
        <v>325</v>
      </c>
    </row>
    <row r="88" spans="1:8" ht="21" x14ac:dyDescent="0.25">
      <c r="A88" s="33" t="s">
        <v>256</v>
      </c>
      <c r="B88" s="33" t="s">
        <v>46</v>
      </c>
      <c r="C88" s="33">
        <v>50</v>
      </c>
      <c r="D88" s="33" t="s">
        <v>36</v>
      </c>
      <c r="E88" s="34">
        <v>3200</v>
      </c>
      <c r="F88" s="34">
        <v>3100</v>
      </c>
      <c r="G88" s="33" t="s">
        <v>4</v>
      </c>
      <c r="H88" s="33" t="s">
        <v>325</v>
      </c>
    </row>
    <row r="89" spans="1:8" ht="21" x14ac:dyDescent="0.25">
      <c r="A89" s="33" t="s">
        <v>257</v>
      </c>
      <c r="B89" s="33" t="s">
        <v>45</v>
      </c>
      <c r="C89" s="33">
        <v>30</v>
      </c>
      <c r="D89" s="33" t="s">
        <v>36</v>
      </c>
      <c r="E89" s="34">
        <v>5600</v>
      </c>
      <c r="F89" s="34">
        <v>5530</v>
      </c>
      <c r="G89" s="33" t="s">
        <v>4</v>
      </c>
      <c r="H89" s="33" t="s">
        <v>164</v>
      </c>
    </row>
    <row r="90" spans="1:8" ht="21" x14ac:dyDescent="0.25">
      <c r="A90" s="33" t="s">
        <v>376</v>
      </c>
      <c r="B90" s="33" t="s">
        <v>451</v>
      </c>
      <c r="C90" s="33">
        <v>60</v>
      </c>
      <c r="D90" s="33" t="s">
        <v>39</v>
      </c>
      <c r="E90" s="34">
        <v>3000</v>
      </c>
      <c r="F90" s="34">
        <v>2900</v>
      </c>
      <c r="G90" s="33" t="s">
        <v>4</v>
      </c>
      <c r="H90" s="33" t="s">
        <v>325</v>
      </c>
    </row>
    <row r="91" spans="1:8" ht="21" x14ac:dyDescent="0.25">
      <c r="A91" s="33" t="s">
        <v>258</v>
      </c>
      <c r="B91" s="33" t="s">
        <v>452</v>
      </c>
      <c r="C91" s="33">
        <v>60</v>
      </c>
      <c r="D91" s="33" t="s">
        <v>39</v>
      </c>
      <c r="E91" s="34">
        <v>3000</v>
      </c>
      <c r="F91" s="34">
        <v>2900</v>
      </c>
      <c r="G91" s="33" t="s">
        <v>4</v>
      </c>
      <c r="H91" s="33" t="s">
        <v>325</v>
      </c>
    </row>
    <row r="92" spans="1:8" ht="21" x14ac:dyDescent="0.25">
      <c r="A92" s="33" t="s">
        <v>259</v>
      </c>
      <c r="B92" s="33" t="s">
        <v>457</v>
      </c>
      <c r="C92" s="33">
        <v>6</v>
      </c>
      <c r="D92" s="33" t="s">
        <v>36</v>
      </c>
      <c r="E92" s="34">
        <v>15300</v>
      </c>
      <c r="F92" s="34">
        <v>15100</v>
      </c>
      <c r="G92" s="33" t="s">
        <v>4</v>
      </c>
      <c r="H92" s="33" t="s">
        <v>325</v>
      </c>
    </row>
    <row r="93" spans="1:8" ht="21" x14ac:dyDescent="0.25">
      <c r="A93" s="33" t="s">
        <v>260</v>
      </c>
      <c r="B93" s="33" t="s">
        <v>458</v>
      </c>
      <c r="C93" s="33">
        <v>6</v>
      </c>
      <c r="D93" s="33" t="s">
        <v>36</v>
      </c>
      <c r="E93" s="34">
        <v>15300</v>
      </c>
      <c r="F93" s="34">
        <v>15100</v>
      </c>
      <c r="G93" s="33" t="s">
        <v>4</v>
      </c>
      <c r="H93" s="33" t="s">
        <v>325</v>
      </c>
    </row>
    <row r="94" spans="1:8" ht="21" x14ac:dyDescent="0.25">
      <c r="A94" s="33" t="s">
        <v>261</v>
      </c>
      <c r="B94" s="33" t="s">
        <v>469</v>
      </c>
      <c r="C94" s="33">
        <v>8</v>
      </c>
      <c r="D94" s="33" t="s">
        <v>36</v>
      </c>
      <c r="E94" s="34">
        <v>6300</v>
      </c>
      <c r="F94" s="34">
        <v>6250</v>
      </c>
      <c r="G94" s="33" t="s">
        <v>4</v>
      </c>
      <c r="H94" s="33" t="s">
        <v>325</v>
      </c>
    </row>
    <row r="95" spans="1:8" ht="21" x14ac:dyDescent="0.25">
      <c r="A95" s="33" t="s">
        <v>262</v>
      </c>
      <c r="B95" s="33" t="s">
        <v>351</v>
      </c>
      <c r="C95" s="33">
        <v>12</v>
      </c>
      <c r="D95" s="33" t="s">
        <v>44</v>
      </c>
      <c r="E95" s="34">
        <v>63000</v>
      </c>
      <c r="F95" s="34">
        <v>62300</v>
      </c>
      <c r="G95" s="33" t="s">
        <v>4</v>
      </c>
      <c r="H95" s="33" t="s">
        <v>325</v>
      </c>
    </row>
    <row r="96" spans="1:8" ht="21" x14ac:dyDescent="0.25">
      <c r="A96" s="33" t="s">
        <v>263</v>
      </c>
      <c r="B96" s="33" t="s">
        <v>350</v>
      </c>
      <c r="C96" s="33">
        <v>12</v>
      </c>
      <c r="D96" s="33" t="s">
        <v>44</v>
      </c>
      <c r="E96" s="34">
        <v>63000</v>
      </c>
      <c r="F96" s="34">
        <v>62300</v>
      </c>
      <c r="G96" s="33" t="s">
        <v>4</v>
      </c>
      <c r="H96" s="33" t="s">
        <v>325</v>
      </c>
    </row>
    <row r="97" spans="1:8" ht="21" x14ac:dyDescent="0.25">
      <c r="A97" s="33" t="s">
        <v>264</v>
      </c>
      <c r="B97" s="33" t="s">
        <v>352</v>
      </c>
      <c r="C97" s="33">
        <v>12</v>
      </c>
      <c r="D97" s="33" t="s">
        <v>44</v>
      </c>
      <c r="E97" s="34">
        <v>63000</v>
      </c>
      <c r="F97" s="34">
        <v>62300</v>
      </c>
      <c r="G97" s="33" t="s">
        <v>4</v>
      </c>
      <c r="H97" s="33" t="s">
        <v>325</v>
      </c>
    </row>
    <row r="98" spans="1:8" ht="21" x14ac:dyDescent="0.25">
      <c r="A98" s="33" t="s">
        <v>265</v>
      </c>
      <c r="B98" s="33" t="s">
        <v>476</v>
      </c>
      <c r="C98" s="33">
        <v>12</v>
      </c>
      <c r="D98" s="33" t="s">
        <v>55</v>
      </c>
      <c r="E98" s="34">
        <v>9850</v>
      </c>
      <c r="F98" s="34">
        <v>9500</v>
      </c>
      <c r="G98" s="33" t="s">
        <v>4</v>
      </c>
      <c r="H98" s="33" t="s">
        <v>325</v>
      </c>
    </row>
    <row r="99" spans="1:8" ht="21" x14ac:dyDescent="0.25">
      <c r="A99" s="33" t="s">
        <v>266</v>
      </c>
      <c r="B99" s="33" t="s">
        <v>480</v>
      </c>
      <c r="C99" s="33">
        <v>6</v>
      </c>
      <c r="D99" s="33" t="s">
        <v>36</v>
      </c>
      <c r="E99" s="34">
        <v>10950</v>
      </c>
      <c r="F99" s="34">
        <v>10900</v>
      </c>
      <c r="G99" s="33" t="s">
        <v>4</v>
      </c>
      <c r="H99" s="33" t="s">
        <v>325</v>
      </c>
    </row>
    <row r="100" spans="1:8" ht="21" x14ac:dyDescent="0.25">
      <c r="A100" s="33" t="s">
        <v>267</v>
      </c>
      <c r="B100" s="33" t="s">
        <v>485</v>
      </c>
      <c r="C100" s="33">
        <v>60</v>
      </c>
      <c r="D100" s="33" t="s">
        <v>36</v>
      </c>
      <c r="E100" s="34">
        <v>1850</v>
      </c>
      <c r="F100" s="34">
        <v>1750</v>
      </c>
      <c r="G100" s="33" t="s">
        <v>4</v>
      </c>
      <c r="H100" s="33" t="s">
        <v>325</v>
      </c>
    </row>
    <row r="101" spans="1:8" ht="21" x14ac:dyDescent="0.25">
      <c r="A101" s="33" t="s">
        <v>268</v>
      </c>
      <c r="B101" s="33" t="s">
        <v>486</v>
      </c>
      <c r="C101" s="33">
        <v>60</v>
      </c>
      <c r="D101" s="33" t="s">
        <v>36</v>
      </c>
      <c r="E101" s="34">
        <v>1850</v>
      </c>
      <c r="F101" s="34">
        <v>1750</v>
      </c>
      <c r="G101" s="33" t="s">
        <v>4</v>
      </c>
      <c r="H101" s="33" t="s">
        <v>325</v>
      </c>
    </row>
    <row r="102" spans="1:8" ht="21" x14ac:dyDescent="0.25">
      <c r="A102" s="33" t="s">
        <v>269</v>
      </c>
      <c r="B102" s="33" t="s">
        <v>487</v>
      </c>
      <c r="C102" s="33">
        <v>60</v>
      </c>
      <c r="D102" s="33" t="s">
        <v>36</v>
      </c>
      <c r="E102" s="34">
        <v>1850</v>
      </c>
      <c r="F102" s="34">
        <v>1750</v>
      </c>
      <c r="G102" s="33" t="s">
        <v>4</v>
      </c>
      <c r="H102" s="33" t="s">
        <v>325</v>
      </c>
    </row>
    <row r="103" spans="1:8" ht="21" x14ac:dyDescent="0.25">
      <c r="A103" s="33" t="s">
        <v>270</v>
      </c>
      <c r="B103" s="33" t="s">
        <v>488</v>
      </c>
      <c r="C103" s="33">
        <v>60</v>
      </c>
      <c r="D103" s="33" t="s">
        <v>36</v>
      </c>
      <c r="E103" s="34">
        <v>1850</v>
      </c>
      <c r="F103" s="34">
        <v>1750</v>
      </c>
      <c r="G103" s="33" t="s">
        <v>4</v>
      </c>
      <c r="H103" s="33" t="s">
        <v>325</v>
      </c>
    </row>
    <row r="104" spans="1:8" ht="21" x14ac:dyDescent="0.25">
      <c r="A104" s="33" t="s">
        <v>271</v>
      </c>
      <c r="B104" s="33" t="s">
        <v>489</v>
      </c>
      <c r="C104" s="33">
        <v>60</v>
      </c>
      <c r="D104" s="33" t="s">
        <v>36</v>
      </c>
      <c r="E104" s="34">
        <v>1850</v>
      </c>
      <c r="F104" s="34">
        <v>1750</v>
      </c>
      <c r="G104" s="33" t="s">
        <v>4</v>
      </c>
      <c r="H104" s="33" t="s">
        <v>325</v>
      </c>
    </row>
    <row r="105" spans="1:8" ht="21" x14ac:dyDescent="0.25">
      <c r="A105" s="33" t="s">
        <v>272</v>
      </c>
      <c r="B105" s="33" t="s">
        <v>490</v>
      </c>
      <c r="C105" s="33">
        <v>6</v>
      </c>
      <c r="D105" s="33" t="s">
        <v>67</v>
      </c>
      <c r="E105" s="34">
        <v>48500</v>
      </c>
      <c r="F105" s="34">
        <v>0</v>
      </c>
      <c r="G105" s="33" t="s">
        <v>4</v>
      </c>
      <c r="H105" s="33" t="s">
        <v>325</v>
      </c>
    </row>
    <row r="106" spans="1:8" ht="21" x14ac:dyDescent="0.25">
      <c r="A106" s="33" t="s">
        <v>273</v>
      </c>
      <c r="B106" s="33" t="s">
        <v>491</v>
      </c>
      <c r="C106" s="33">
        <v>6</v>
      </c>
      <c r="D106" s="33" t="s">
        <v>67</v>
      </c>
      <c r="E106" s="34">
        <v>48500</v>
      </c>
      <c r="F106" s="34">
        <v>0</v>
      </c>
      <c r="G106" s="33" t="s">
        <v>4</v>
      </c>
      <c r="H106" s="33" t="s">
        <v>325</v>
      </c>
    </row>
    <row r="107" spans="1:8" ht="21" x14ac:dyDescent="0.25">
      <c r="A107" s="33" t="s">
        <v>274</v>
      </c>
      <c r="B107" s="33" t="s">
        <v>492</v>
      </c>
      <c r="C107" s="33">
        <v>6</v>
      </c>
      <c r="D107" s="33" t="s">
        <v>67</v>
      </c>
      <c r="E107" s="34">
        <v>48500</v>
      </c>
      <c r="F107" s="34">
        <v>0</v>
      </c>
      <c r="G107" s="33" t="s">
        <v>4</v>
      </c>
      <c r="H107" s="33" t="s">
        <v>325</v>
      </c>
    </row>
    <row r="108" spans="1:8" ht="21" x14ac:dyDescent="0.25">
      <c r="A108" s="33" t="s">
        <v>275</v>
      </c>
      <c r="B108" s="33" t="s">
        <v>493</v>
      </c>
      <c r="C108" s="33">
        <v>6</v>
      </c>
      <c r="D108" s="33" t="s">
        <v>67</v>
      </c>
      <c r="E108" s="34">
        <v>48500</v>
      </c>
      <c r="F108" s="34">
        <v>0</v>
      </c>
      <c r="G108" s="33" t="s">
        <v>4</v>
      </c>
      <c r="H108" s="33" t="s">
        <v>325</v>
      </c>
    </row>
    <row r="109" spans="1:8" ht="21" x14ac:dyDescent="0.25">
      <c r="A109" s="33" t="s">
        <v>276</v>
      </c>
      <c r="B109" s="33" t="s">
        <v>506</v>
      </c>
      <c r="C109" s="33">
        <v>20</v>
      </c>
      <c r="D109" s="33" t="s">
        <v>55</v>
      </c>
      <c r="E109" s="34">
        <v>5500</v>
      </c>
      <c r="F109" s="34">
        <v>0</v>
      </c>
      <c r="G109" s="33" t="s">
        <v>4</v>
      </c>
      <c r="H109" s="33" t="s">
        <v>325</v>
      </c>
    </row>
    <row r="110" spans="1:8" ht="21" x14ac:dyDescent="0.25">
      <c r="A110" s="33" t="s">
        <v>277</v>
      </c>
      <c r="B110" s="33" t="s">
        <v>507</v>
      </c>
      <c r="C110" s="33">
        <v>20</v>
      </c>
      <c r="D110" s="33" t="s">
        <v>55</v>
      </c>
      <c r="E110" s="34">
        <v>0</v>
      </c>
      <c r="F110" s="34">
        <v>0</v>
      </c>
      <c r="G110" s="33" t="s">
        <v>4</v>
      </c>
      <c r="H110" s="33" t="s">
        <v>164</v>
      </c>
    </row>
    <row r="111" spans="1:8" ht="21" x14ac:dyDescent="0.25">
      <c r="A111" s="33" t="s">
        <v>278</v>
      </c>
      <c r="B111" s="33" t="s">
        <v>508</v>
      </c>
      <c r="C111" s="33">
        <v>20</v>
      </c>
      <c r="D111" s="33" t="s">
        <v>55</v>
      </c>
      <c r="E111" s="34">
        <v>5500</v>
      </c>
      <c r="F111" s="34">
        <v>0</v>
      </c>
      <c r="G111" s="33" t="s">
        <v>4</v>
      </c>
      <c r="H111" s="33" t="s">
        <v>325</v>
      </c>
    </row>
    <row r="112" spans="1:8" ht="21" x14ac:dyDescent="0.25">
      <c r="A112" s="33" t="s">
        <v>279</v>
      </c>
      <c r="B112" s="33" t="s">
        <v>509</v>
      </c>
      <c r="C112" s="33">
        <v>20</v>
      </c>
      <c r="D112" s="33" t="s">
        <v>55</v>
      </c>
      <c r="E112" s="34">
        <v>5500</v>
      </c>
      <c r="F112" s="34">
        <v>0</v>
      </c>
      <c r="G112" s="33" t="s">
        <v>4</v>
      </c>
      <c r="H112" s="33" t="s">
        <v>325</v>
      </c>
    </row>
    <row r="113" spans="1:8" ht="21" x14ac:dyDescent="0.25">
      <c r="A113" s="33" t="s">
        <v>280</v>
      </c>
      <c r="B113" s="33" t="s">
        <v>510</v>
      </c>
      <c r="C113" s="33">
        <v>20</v>
      </c>
      <c r="D113" s="33" t="s">
        <v>55</v>
      </c>
      <c r="E113" s="34">
        <v>5500</v>
      </c>
      <c r="F113" s="34">
        <v>0</v>
      </c>
      <c r="G113" s="33" t="s">
        <v>4</v>
      </c>
      <c r="H113" s="33" t="s">
        <v>325</v>
      </c>
    </row>
    <row r="114" spans="1:8" ht="21" x14ac:dyDescent="0.25">
      <c r="A114" s="33" t="s">
        <v>281</v>
      </c>
      <c r="B114" s="33" t="s">
        <v>511</v>
      </c>
      <c r="C114" s="33">
        <v>20</v>
      </c>
      <c r="D114" s="33" t="s">
        <v>55</v>
      </c>
      <c r="E114" s="34">
        <v>5500</v>
      </c>
      <c r="F114" s="34">
        <v>0</v>
      </c>
      <c r="G114" s="33" t="s">
        <v>4</v>
      </c>
      <c r="H114" s="33" t="s">
        <v>325</v>
      </c>
    </row>
    <row r="115" spans="1:8" ht="21" x14ac:dyDescent="0.25">
      <c r="A115" s="33" t="s">
        <v>282</v>
      </c>
      <c r="B115" s="33" t="s">
        <v>512</v>
      </c>
      <c r="C115" s="33">
        <v>20</v>
      </c>
      <c r="D115" s="33" t="s">
        <v>55</v>
      </c>
      <c r="E115" s="34">
        <v>5500</v>
      </c>
      <c r="F115" s="34">
        <v>0</v>
      </c>
      <c r="G115" s="33" t="s">
        <v>4</v>
      </c>
      <c r="H115" s="33" t="s">
        <v>325</v>
      </c>
    </row>
    <row r="116" spans="1:8" ht="21" x14ac:dyDescent="0.25">
      <c r="A116" s="33" t="s">
        <v>283</v>
      </c>
      <c r="B116" s="33" t="s">
        <v>523</v>
      </c>
      <c r="C116" s="33">
        <v>100</v>
      </c>
      <c r="D116" s="33" t="s">
        <v>33</v>
      </c>
      <c r="E116" s="34">
        <v>1300</v>
      </c>
      <c r="F116" s="34">
        <v>0</v>
      </c>
      <c r="G116" s="33" t="s">
        <v>4</v>
      </c>
      <c r="H116" s="33" t="s">
        <v>164</v>
      </c>
    </row>
    <row r="117" spans="1:8" ht="21" x14ac:dyDescent="0.25">
      <c r="A117" s="33" t="s">
        <v>284</v>
      </c>
      <c r="B117" s="33" t="s">
        <v>524</v>
      </c>
      <c r="C117" s="33">
        <v>100</v>
      </c>
      <c r="D117" s="33" t="s">
        <v>33</v>
      </c>
      <c r="E117" s="34">
        <v>2800</v>
      </c>
      <c r="F117" s="34">
        <v>0</v>
      </c>
      <c r="G117" s="33" t="s">
        <v>4</v>
      </c>
      <c r="H117" s="33" t="s">
        <v>325</v>
      </c>
    </row>
    <row r="118" spans="1:8" ht="21" x14ac:dyDescent="0.25">
      <c r="A118" s="33" t="s">
        <v>285</v>
      </c>
      <c r="B118" s="33" t="s">
        <v>525</v>
      </c>
      <c r="C118" s="33">
        <v>20</v>
      </c>
      <c r="D118" s="33" t="s">
        <v>36</v>
      </c>
      <c r="E118" s="34">
        <v>9200</v>
      </c>
      <c r="F118" s="34">
        <v>9100</v>
      </c>
      <c r="G118" s="33" t="s">
        <v>4</v>
      </c>
      <c r="H118" s="33" t="s">
        <v>325</v>
      </c>
    </row>
    <row r="119" spans="1:8" ht="21" x14ac:dyDescent="0.25">
      <c r="A119" s="33" t="s">
        <v>286</v>
      </c>
      <c r="B119" s="33" t="s">
        <v>528</v>
      </c>
      <c r="C119" s="33">
        <v>1</v>
      </c>
      <c r="D119" s="33" t="s">
        <v>44</v>
      </c>
      <c r="E119" s="34">
        <v>3450</v>
      </c>
      <c r="F119" s="34">
        <v>0</v>
      </c>
      <c r="G119" s="33" t="s">
        <v>4</v>
      </c>
      <c r="H119" s="33" t="s">
        <v>325</v>
      </c>
    </row>
    <row r="120" spans="1:8" ht="21" x14ac:dyDescent="0.25">
      <c r="A120" s="33" t="s">
        <v>287</v>
      </c>
      <c r="B120" s="33" t="s">
        <v>529</v>
      </c>
      <c r="C120" s="33">
        <v>1</v>
      </c>
      <c r="D120" s="33" t="s">
        <v>44</v>
      </c>
      <c r="E120" s="34">
        <v>3450</v>
      </c>
      <c r="F120" s="34">
        <v>0</v>
      </c>
      <c r="G120" s="33" t="s">
        <v>4</v>
      </c>
      <c r="H120" s="33" t="s">
        <v>325</v>
      </c>
    </row>
    <row r="121" spans="1:8" ht="21" x14ac:dyDescent="0.25">
      <c r="A121" s="33" t="s">
        <v>288</v>
      </c>
      <c r="B121" s="33" t="s">
        <v>530</v>
      </c>
      <c r="C121" s="33">
        <v>1</v>
      </c>
      <c r="D121" s="33" t="s">
        <v>44</v>
      </c>
      <c r="E121" s="34">
        <v>3450</v>
      </c>
      <c r="F121" s="34">
        <v>0</v>
      </c>
      <c r="G121" s="33" t="s">
        <v>4</v>
      </c>
      <c r="H121" s="33" t="s">
        <v>325</v>
      </c>
    </row>
    <row r="122" spans="1:8" ht="21" x14ac:dyDescent="0.25">
      <c r="A122" s="33" t="s">
        <v>289</v>
      </c>
      <c r="B122" s="33" t="s">
        <v>154</v>
      </c>
      <c r="C122" s="33">
        <v>1</v>
      </c>
      <c r="D122" s="33" t="s">
        <v>36</v>
      </c>
      <c r="E122" s="34">
        <v>1800</v>
      </c>
      <c r="F122" s="34">
        <v>1750</v>
      </c>
      <c r="G122" s="33" t="s">
        <v>8</v>
      </c>
      <c r="H122" s="33" t="s">
        <v>325</v>
      </c>
    </row>
    <row r="123" spans="1:8" ht="21" x14ac:dyDescent="0.25">
      <c r="A123" s="33" t="s">
        <v>290</v>
      </c>
      <c r="B123" s="33" t="s">
        <v>384</v>
      </c>
      <c r="C123" s="33">
        <v>50</v>
      </c>
      <c r="D123" s="33" t="s">
        <v>36</v>
      </c>
      <c r="E123" s="34">
        <v>1700</v>
      </c>
      <c r="F123" s="34">
        <v>1690</v>
      </c>
      <c r="G123" s="33" t="s">
        <v>8</v>
      </c>
      <c r="H123" s="33" t="s">
        <v>325</v>
      </c>
    </row>
    <row r="124" spans="1:8" ht="21" x14ac:dyDescent="0.25">
      <c r="A124" s="33" t="s">
        <v>291</v>
      </c>
      <c r="B124" s="33" t="s">
        <v>387</v>
      </c>
      <c r="C124" s="33">
        <v>1</v>
      </c>
      <c r="D124" s="33" t="s">
        <v>55</v>
      </c>
      <c r="E124" s="34">
        <v>8000</v>
      </c>
      <c r="F124" s="34">
        <v>7880</v>
      </c>
      <c r="G124" s="33" t="s">
        <v>8</v>
      </c>
      <c r="H124" s="33" t="s">
        <v>325</v>
      </c>
    </row>
    <row r="125" spans="1:8" ht="21" x14ac:dyDescent="0.25">
      <c r="A125" s="33" t="s">
        <v>292</v>
      </c>
      <c r="B125" s="33" t="s">
        <v>388</v>
      </c>
      <c r="C125" s="33">
        <v>1</v>
      </c>
      <c r="D125" s="33" t="s">
        <v>55</v>
      </c>
      <c r="E125" s="34">
        <v>3300</v>
      </c>
      <c r="F125" s="34">
        <v>3220</v>
      </c>
      <c r="G125" s="33" t="s">
        <v>8</v>
      </c>
      <c r="H125" s="33" t="s">
        <v>325</v>
      </c>
    </row>
    <row r="126" spans="1:8" ht="21" x14ac:dyDescent="0.25">
      <c r="A126" s="33" t="s">
        <v>293</v>
      </c>
      <c r="B126" s="33" t="s">
        <v>43</v>
      </c>
      <c r="C126" s="33">
        <v>8</v>
      </c>
      <c r="D126" s="33" t="s">
        <v>44</v>
      </c>
      <c r="E126" s="34">
        <v>32000</v>
      </c>
      <c r="F126" s="34">
        <v>0</v>
      </c>
      <c r="G126" s="33" t="s">
        <v>8</v>
      </c>
      <c r="H126" s="33" t="s">
        <v>325</v>
      </c>
    </row>
    <row r="127" spans="1:8" ht="21" x14ac:dyDescent="0.25">
      <c r="A127" s="33" t="s">
        <v>294</v>
      </c>
      <c r="B127" s="33" t="s">
        <v>432</v>
      </c>
      <c r="C127" s="33">
        <v>24</v>
      </c>
      <c r="D127" s="33" t="s">
        <v>36</v>
      </c>
      <c r="E127" s="34">
        <v>12000</v>
      </c>
      <c r="F127" s="34">
        <v>11800</v>
      </c>
      <c r="G127" s="33" t="s">
        <v>8</v>
      </c>
      <c r="H127" s="33" t="s">
        <v>325</v>
      </c>
    </row>
    <row r="128" spans="1:8" ht="21" x14ac:dyDescent="0.25">
      <c r="A128" s="33" t="s">
        <v>295</v>
      </c>
      <c r="B128" s="33" t="s">
        <v>433</v>
      </c>
      <c r="C128" s="33">
        <v>10</v>
      </c>
      <c r="D128" s="33" t="s">
        <v>36</v>
      </c>
      <c r="E128" s="34">
        <v>16100</v>
      </c>
      <c r="F128" s="34">
        <v>15800</v>
      </c>
      <c r="G128" s="33" t="s">
        <v>8</v>
      </c>
      <c r="H128" s="33" t="s">
        <v>325</v>
      </c>
    </row>
    <row r="129" spans="1:8" ht="21" x14ac:dyDescent="0.25">
      <c r="A129" s="33" t="s">
        <v>296</v>
      </c>
      <c r="B129" s="33" t="s">
        <v>145</v>
      </c>
      <c r="C129" s="33">
        <v>1</v>
      </c>
      <c r="D129" s="33" t="s">
        <v>67</v>
      </c>
      <c r="E129" s="34">
        <v>1800</v>
      </c>
      <c r="F129" s="34">
        <v>1750</v>
      </c>
      <c r="G129" s="33" t="s">
        <v>8</v>
      </c>
      <c r="H129" s="33" t="s">
        <v>325</v>
      </c>
    </row>
    <row r="130" spans="1:8" ht="21" x14ac:dyDescent="0.25">
      <c r="A130" s="33" t="s">
        <v>297</v>
      </c>
      <c r="B130" s="33" t="s">
        <v>434</v>
      </c>
      <c r="C130" s="33">
        <v>1</v>
      </c>
      <c r="D130" s="33" t="s">
        <v>67</v>
      </c>
      <c r="E130" s="34">
        <v>1800</v>
      </c>
      <c r="F130" s="34">
        <v>1750</v>
      </c>
      <c r="G130" s="33" t="s">
        <v>8</v>
      </c>
      <c r="H130" s="33" t="s">
        <v>325</v>
      </c>
    </row>
    <row r="131" spans="1:8" ht="21" x14ac:dyDescent="0.25">
      <c r="A131" s="33" t="s">
        <v>298</v>
      </c>
      <c r="B131" s="33" t="s">
        <v>146</v>
      </c>
      <c r="C131" s="33">
        <v>1</v>
      </c>
      <c r="D131" s="33" t="s">
        <v>67</v>
      </c>
      <c r="E131" s="34">
        <v>2350</v>
      </c>
      <c r="F131" s="34">
        <v>2270</v>
      </c>
      <c r="G131" s="33" t="s">
        <v>8</v>
      </c>
      <c r="H131" s="33" t="s">
        <v>325</v>
      </c>
    </row>
    <row r="132" spans="1:8" ht="21" x14ac:dyDescent="0.25">
      <c r="A132" s="33" t="s">
        <v>299</v>
      </c>
      <c r="B132" s="33" t="s">
        <v>132</v>
      </c>
      <c r="C132" s="33">
        <v>6</v>
      </c>
      <c r="D132" s="33" t="s">
        <v>106</v>
      </c>
      <c r="E132" s="34">
        <v>7300</v>
      </c>
      <c r="F132" s="34">
        <v>0</v>
      </c>
      <c r="G132" s="33" t="s">
        <v>8</v>
      </c>
      <c r="H132" s="33" t="s">
        <v>164</v>
      </c>
    </row>
    <row r="133" spans="1:8" ht="21" x14ac:dyDescent="0.25">
      <c r="A133" s="33" t="s">
        <v>539</v>
      </c>
      <c r="B133" s="33" t="s">
        <v>130</v>
      </c>
      <c r="C133" s="33">
        <v>20</v>
      </c>
      <c r="D133" s="33" t="s">
        <v>106</v>
      </c>
      <c r="E133" s="34">
        <v>2000</v>
      </c>
      <c r="F133" s="34">
        <v>0</v>
      </c>
      <c r="G133" s="33" t="s">
        <v>8</v>
      </c>
      <c r="H133" s="33" t="s">
        <v>164</v>
      </c>
    </row>
    <row r="134" spans="1:8" ht="21" x14ac:dyDescent="0.25">
      <c r="A134" s="33" t="s">
        <v>540</v>
      </c>
      <c r="B134" s="33" t="s">
        <v>131</v>
      </c>
      <c r="C134" s="33">
        <v>10</v>
      </c>
      <c r="D134" s="33" t="s">
        <v>106</v>
      </c>
      <c r="E134" s="34">
        <v>4000</v>
      </c>
      <c r="F134" s="34">
        <v>0</v>
      </c>
      <c r="G134" s="33" t="s">
        <v>8</v>
      </c>
      <c r="H134" s="33" t="s">
        <v>164</v>
      </c>
    </row>
    <row r="135" spans="1:8" ht="21" x14ac:dyDescent="0.25">
      <c r="A135" s="33" t="s">
        <v>541</v>
      </c>
      <c r="B135" s="33" t="s">
        <v>129</v>
      </c>
      <c r="C135" s="33">
        <v>50</v>
      </c>
      <c r="D135" s="33" t="s">
        <v>106</v>
      </c>
      <c r="E135" s="34">
        <v>800</v>
      </c>
      <c r="F135" s="34">
        <v>0</v>
      </c>
      <c r="G135" s="33" t="s">
        <v>8</v>
      </c>
      <c r="H135" s="33" t="s">
        <v>164</v>
      </c>
    </row>
    <row r="136" spans="1:8" ht="21" x14ac:dyDescent="0.25">
      <c r="A136" s="33" t="s">
        <v>542</v>
      </c>
      <c r="B136" s="33" t="s">
        <v>453</v>
      </c>
      <c r="C136" s="33"/>
      <c r="D136" s="33" t="s">
        <v>380</v>
      </c>
      <c r="E136" s="34">
        <v>0</v>
      </c>
      <c r="F136" s="34">
        <v>0</v>
      </c>
      <c r="G136" s="33" t="s">
        <v>8</v>
      </c>
      <c r="H136" s="33" t="s">
        <v>164</v>
      </c>
    </row>
    <row r="137" spans="1:8" ht="21" x14ac:dyDescent="0.25">
      <c r="A137" s="33" t="s">
        <v>300</v>
      </c>
      <c r="B137" s="33" t="s">
        <v>474</v>
      </c>
      <c r="C137" s="33">
        <v>1</v>
      </c>
      <c r="D137" s="33" t="s">
        <v>55</v>
      </c>
      <c r="E137" s="34">
        <v>7300</v>
      </c>
      <c r="F137" s="34">
        <v>7150</v>
      </c>
      <c r="G137" s="33" t="s">
        <v>8</v>
      </c>
      <c r="H137" s="33" t="s">
        <v>325</v>
      </c>
    </row>
    <row r="138" spans="1:8" ht="21" x14ac:dyDescent="0.25">
      <c r="A138" s="33" t="s">
        <v>543</v>
      </c>
      <c r="B138" s="33" t="s">
        <v>484</v>
      </c>
      <c r="C138" s="33">
        <v>4</v>
      </c>
      <c r="D138" s="33" t="s">
        <v>67</v>
      </c>
      <c r="E138" s="34">
        <v>30000</v>
      </c>
      <c r="F138" s="34">
        <v>29300</v>
      </c>
      <c r="G138" s="33" t="s">
        <v>8</v>
      </c>
      <c r="H138" s="33" t="s">
        <v>325</v>
      </c>
    </row>
    <row r="139" spans="1:8" ht="21" x14ac:dyDescent="0.25">
      <c r="A139" s="33" t="s">
        <v>301</v>
      </c>
      <c r="B139" s="33" t="s">
        <v>155</v>
      </c>
      <c r="C139" s="33">
        <v>60</v>
      </c>
      <c r="D139" s="33" t="s">
        <v>39</v>
      </c>
      <c r="E139" s="34">
        <v>1800</v>
      </c>
      <c r="F139" s="34">
        <v>0</v>
      </c>
      <c r="G139" s="33" t="s">
        <v>8</v>
      </c>
      <c r="H139" s="33" t="s">
        <v>325</v>
      </c>
    </row>
    <row r="140" spans="1:8" ht="21" x14ac:dyDescent="0.25">
      <c r="A140" s="33" t="s">
        <v>302</v>
      </c>
      <c r="B140" s="33" t="s">
        <v>496</v>
      </c>
      <c r="C140" s="33">
        <v>4</v>
      </c>
      <c r="D140" s="33" t="s">
        <v>106</v>
      </c>
      <c r="E140" s="34">
        <v>28250</v>
      </c>
      <c r="F140" s="34">
        <v>0</v>
      </c>
      <c r="G140" s="33" t="s">
        <v>8</v>
      </c>
      <c r="H140" s="33" t="s">
        <v>164</v>
      </c>
    </row>
    <row r="141" spans="1:8" ht="21" x14ac:dyDescent="0.25">
      <c r="A141" s="33" t="s">
        <v>303</v>
      </c>
      <c r="B141" s="33" t="s">
        <v>497</v>
      </c>
      <c r="C141" s="33">
        <v>24</v>
      </c>
      <c r="D141" s="33" t="s">
        <v>106</v>
      </c>
      <c r="E141" s="34">
        <v>6250</v>
      </c>
      <c r="F141" s="34">
        <v>0</v>
      </c>
      <c r="G141" s="33" t="s">
        <v>8</v>
      </c>
      <c r="H141" s="33" t="s">
        <v>164</v>
      </c>
    </row>
    <row r="142" spans="1:8" ht="21" x14ac:dyDescent="0.25">
      <c r="A142" s="33" t="s">
        <v>304</v>
      </c>
      <c r="B142" s="33" t="s">
        <v>500</v>
      </c>
      <c r="C142" s="33">
        <v>1</v>
      </c>
      <c r="D142" s="33" t="s">
        <v>36</v>
      </c>
      <c r="E142" s="34">
        <v>1900</v>
      </c>
      <c r="F142" s="34">
        <v>1850</v>
      </c>
      <c r="G142" s="33" t="s">
        <v>8</v>
      </c>
      <c r="H142" s="33" t="s">
        <v>325</v>
      </c>
    </row>
    <row r="143" spans="1:8" ht="21" x14ac:dyDescent="0.25">
      <c r="A143" s="33" t="s">
        <v>305</v>
      </c>
      <c r="B143" s="33" t="s">
        <v>501</v>
      </c>
      <c r="C143" s="33"/>
      <c r="D143" s="33" t="s">
        <v>380</v>
      </c>
      <c r="E143" s="34">
        <v>16500</v>
      </c>
      <c r="F143" s="34">
        <v>0</v>
      </c>
      <c r="G143" s="33" t="s">
        <v>8</v>
      </c>
      <c r="H143" s="33" t="s">
        <v>164</v>
      </c>
    </row>
    <row r="144" spans="1:8" ht="21" x14ac:dyDescent="0.25">
      <c r="A144" s="33" t="s">
        <v>306</v>
      </c>
      <c r="B144" s="33" t="s">
        <v>502</v>
      </c>
      <c r="C144" s="33"/>
      <c r="D144" s="33" t="s">
        <v>380</v>
      </c>
      <c r="E144" s="34">
        <v>7600</v>
      </c>
      <c r="F144" s="34">
        <v>7500</v>
      </c>
      <c r="G144" s="33" t="s">
        <v>8</v>
      </c>
      <c r="H144" s="33" t="s">
        <v>325</v>
      </c>
    </row>
    <row r="145" spans="1:8" ht="21" x14ac:dyDescent="0.25">
      <c r="A145" s="33" t="s">
        <v>307</v>
      </c>
      <c r="B145" s="33" t="s">
        <v>503</v>
      </c>
      <c r="C145" s="33"/>
      <c r="D145" s="33" t="s">
        <v>380</v>
      </c>
      <c r="E145" s="34">
        <v>2750</v>
      </c>
      <c r="F145" s="34">
        <v>2680</v>
      </c>
      <c r="G145" s="33" t="s">
        <v>8</v>
      </c>
      <c r="H145" s="33" t="s">
        <v>325</v>
      </c>
    </row>
    <row r="146" spans="1:8" ht="21" x14ac:dyDescent="0.25">
      <c r="A146" s="33" t="s">
        <v>308</v>
      </c>
      <c r="B146" s="33" t="s">
        <v>504</v>
      </c>
      <c r="C146" s="33"/>
      <c r="D146" s="33" t="s">
        <v>380</v>
      </c>
      <c r="E146" s="34">
        <v>0</v>
      </c>
      <c r="F146" s="34">
        <v>0</v>
      </c>
      <c r="G146" s="33" t="s">
        <v>8</v>
      </c>
      <c r="H146" s="33" t="s">
        <v>164</v>
      </c>
    </row>
    <row r="147" spans="1:8" ht="21" x14ac:dyDescent="0.25">
      <c r="A147" s="33" t="s">
        <v>309</v>
      </c>
      <c r="B147" s="33" t="s">
        <v>505</v>
      </c>
      <c r="C147" s="33"/>
      <c r="D147" s="33" t="s">
        <v>380</v>
      </c>
      <c r="E147" s="34">
        <v>0</v>
      </c>
      <c r="F147" s="34">
        <v>0</v>
      </c>
      <c r="G147" s="33" t="s">
        <v>8</v>
      </c>
      <c r="H147" s="33" t="s">
        <v>164</v>
      </c>
    </row>
    <row r="148" spans="1:8" ht="21" x14ac:dyDescent="0.25">
      <c r="A148" s="33" t="s">
        <v>310</v>
      </c>
      <c r="B148" s="33" t="s">
        <v>513</v>
      </c>
      <c r="C148" s="33">
        <v>80</v>
      </c>
      <c r="D148" s="33" t="s">
        <v>36</v>
      </c>
      <c r="E148" s="34">
        <v>6000</v>
      </c>
      <c r="F148" s="34">
        <v>5700</v>
      </c>
      <c r="G148" s="33" t="s">
        <v>8</v>
      </c>
      <c r="H148" s="33" t="s">
        <v>325</v>
      </c>
    </row>
    <row r="149" spans="1:8" ht="21" x14ac:dyDescent="0.25">
      <c r="A149" s="33" t="s">
        <v>311</v>
      </c>
      <c r="B149" s="33" t="s">
        <v>514</v>
      </c>
      <c r="C149" s="33">
        <v>80</v>
      </c>
      <c r="D149" s="33" t="s">
        <v>36</v>
      </c>
      <c r="E149" s="34">
        <v>6000</v>
      </c>
      <c r="F149" s="34">
        <v>5700</v>
      </c>
      <c r="G149" s="33" t="s">
        <v>8</v>
      </c>
      <c r="H149" s="33" t="s">
        <v>325</v>
      </c>
    </row>
    <row r="150" spans="1:8" ht="21" x14ac:dyDescent="0.25">
      <c r="A150" s="33" t="s">
        <v>312</v>
      </c>
      <c r="B150" s="33" t="s">
        <v>515</v>
      </c>
      <c r="C150" s="33">
        <v>80</v>
      </c>
      <c r="D150" s="33" t="s">
        <v>36</v>
      </c>
      <c r="E150" s="34">
        <v>6000</v>
      </c>
      <c r="F150" s="34">
        <v>5700</v>
      </c>
      <c r="G150" s="33" t="s">
        <v>8</v>
      </c>
      <c r="H150" s="33" t="s">
        <v>325</v>
      </c>
    </row>
    <row r="151" spans="1:8" ht="21" x14ac:dyDescent="0.25">
      <c r="A151" s="33" t="s">
        <v>313</v>
      </c>
      <c r="B151" s="33" t="s">
        <v>516</v>
      </c>
      <c r="C151" s="33">
        <v>12</v>
      </c>
      <c r="D151" s="33" t="s">
        <v>42</v>
      </c>
      <c r="E151" s="34">
        <v>9600</v>
      </c>
      <c r="F151" s="34">
        <v>9450</v>
      </c>
      <c r="G151" s="33" t="s">
        <v>8</v>
      </c>
      <c r="H151" s="33" t="s">
        <v>325</v>
      </c>
    </row>
    <row r="152" spans="1:8" ht="21" x14ac:dyDescent="0.25">
      <c r="A152" s="33" t="s">
        <v>544</v>
      </c>
      <c r="B152" s="33" t="s">
        <v>517</v>
      </c>
      <c r="C152" s="33">
        <v>12</v>
      </c>
      <c r="D152" s="33" t="s">
        <v>42</v>
      </c>
      <c r="E152" s="34">
        <v>9000</v>
      </c>
      <c r="F152" s="34">
        <v>8900</v>
      </c>
      <c r="G152" s="33" t="s">
        <v>8</v>
      </c>
      <c r="H152" s="33" t="s">
        <v>325</v>
      </c>
    </row>
    <row r="153" spans="1:8" ht="21" x14ac:dyDescent="0.25">
      <c r="A153" s="33" t="s">
        <v>545</v>
      </c>
      <c r="B153" s="33" t="s">
        <v>518</v>
      </c>
      <c r="C153" s="33"/>
      <c r="D153" s="33" t="s">
        <v>42</v>
      </c>
      <c r="E153" s="34">
        <v>0</v>
      </c>
      <c r="F153" s="34">
        <v>0</v>
      </c>
      <c r="G153" s="33" t="s">
        <v>8</v>
      </c>
      <c r="H153" s="33" t="s">
        <v>164</v>
      </c>
    </row>
    <row r="154" spans="1:8" ht="21" x14ac:dyDescent="0.25">
      <c r="A154" s="33" t="s">
        <v>314</v>
      </c>
      <c r="B154" s="33" t="s">
        <v>519</v>
      </c>
      <c r="C154" s="33">
        <v>1</v>
      </c>
      <c r="D154" s="33" t="s">
        <v>142</v>
      </c>
      <c r="E154" s="34">
        <v>265000</v>
      </c>
      <c r="F154" s="34">
        <v>0</v>
      </c>
      <c r="G154" s="33" t="s">
        <v>8</v>
      </c>
      <c r="H154" s="33" t="s">
        <v>325</v>
      </c>
    </row>
    <row r="155" spans="1:8" ht="21" x14ac:dyDescent="0.25">
      <c r="A155" s="33" t="s">
        <v>315</v>
      </c>
      <c r="B155" s="33" t="s">
        <v>520</v>
      </c>
      <c r="C155" s="33">
        <v>10</v>
      </c>
      <c r="D155" s="33" t="s">
        <v>142</v>
      </c>
      <c r="E155" s="34">
        <v>27500</v>
      </c>
      <c r="F155" s="34">
        <v>0</v>
      </c>
      <c r="G155" s="33" t="s">
        <v>8</v>
      </c>
      <c r="H155" s="33" t="s">
        <v>325</v>
      </c>
    </row>
    <row r="156" spans="1:8" ht="21" x14ac:dyDescent="0.25">
      <c r="A156" s="33" t="s">
        <v>316</v>
      </c>
      <c r="B156" s="33" t="s">
        <v>521</v>
      </c>
      <c r="C156" s="33">
        <v>4</v>
      </c>
      <c r="D156" s="33" t="s">
        <v>142</v>
      </c>
      <c r="E156" s="34">
        <v>80000</v>
      </c>
      <c r="F156" s="34">
        <v>0</v>
      </c>
      <c r="G156" s="33" t="s">
        <v>8</v>
      </c>
      <c r="H156" s="33" t="s">
        <v>325</v>
      </c>
    </row>
    <row r="157" spans="1:8" ht="21" x14ac:dyDescent="0.25">
      <c r="A157" s="33" t="s">
        <v>317</v>
      </c>
      <c r="B157" s="33" t="s">
        <v>522</v>
      </c>
      <c r="C157" s="33">
        <v>20</v>
      </c>
      <c r="D157" s="33" t="s">
        <v>55</v>
      </c>
      <c r="E157" s="34">
        <v>14000</v>
      </c>
      <c r="F157" s="34">
        <v>0</v>
      </c>
      <c r="G157" s="33" t="s">
        <v>8</v>
      </c>
      <c r="H157" s="33" t="s">
        <v>325</v>
      </c>
    </row>
    <row r="158" spans="1:8" ht="21" x14ac:dyDescent="0.25">
      <c r="A158" s="33" t="s">
        <v>318</v>
      </c>
      <c r="B158" s="33" t="s">
        <v>526</v>
      </c>
      <c r="C158" s="35">
        <v>8</v>
      </c>
      <c r="D158" s="33" t="s">
        <v>55</v>
      </c>
      <c r="E158" s="34">
        <v>14500</v>
      </c>
      <c r="F158" s="34">
        <v>0</v>
      </c>
      <c r="G158" s="33" t="s">
        <v>8</v>
      </c>
      <c r="H158" s="33" t="s">
        <v>325</v>
      </c>
    </row>
    <row r="159" spans="1:8" ht="21" x14ac:dyDescent="0.25">
      <c r="A159" s="33" t="s">
        <v>319</v>
      </c>
      <c r="B159" s="33" t="s">
        <v>527</v>
      </c>
      <c r="C159" s="33">
        <v>6</v>
      </c>
      <c r="D159" s="33" t="s">
        <v>55</v>
      </c>
      <c r="E159" s="34">
        <v>19200</v>
      </c>
      <c r="F159" s="34">
        <v>0</v>
      </c>
      <c r="G159" s="33" t="s">
        <v>8</v>
      </c>
      <c r="H159" s="33" t="s">
        <v>325</v>
      </c>
    </row>
    <row r="160" spans="1:8" ht="21" x14ac:dyDescent="0.25">
      <c r="A160" s="33" t="s">
        <v>546</v>
      </c>
      <c r="B160" s="33" t="s">
        <v>152</v>
      </c>
      <c r="C160" s="33">
        <v>10</v>
      </c>
      <c r="D160" s="33" t="s">
        <v>12</v>
      </c>
      <c r="E160" s="34">
        <v>8000</v>
      </c>
      <c r="F160" s="34">
        <v>0</v>
      </c>
      <c r="G160" s="33" t="s">
        <v>9</v>
      </c>
      <c r="H160" s="33" t="s">
        <v>325</v>
      </c>
    </row>
    <row r="161" spans="1:8" ht="21" x14ac:dyDescent="0.25">
      <c r="A161" s="33" t="s">
        <v>547</v>
      </c>
      <c r="B161" s="33" t="s">
        <v>153</v>
      </c>
      <c r="C161" s="33">
        <v>10</v>
      </c>
      <c r="D161" s="33" t="s">
        <v>12</v>
      </c>
      <c r="E161" s="34">
        <v>13000</v>
      </c>
      <c r="F161" s="34">
        <v>0</v>
      </c>
      <c r="G161" s="33" t="s">
        <v>9</v>
      </c>
      <c r="H161" s="33" t="s">
        <v>325</v>
      </c>
    </row>
    <row r="162" spans="1:8" ht="21" x14ac:dyDescent="0.25">
      <c r="A162" s="33" t="s">
        <v>548</v>
      </c>
      <c r="B162" s="33" t="s">
        <v>477</v>
      </c>
      <c r="C162" s="33">
        <v>20</v>
      </c>
      <c r="D162" s="33" t="s">
        <v>67</v>
      </c>
      <c r="E162" s="34">
        <v>15500</v>
      </c>
      <c r="F162" s="34">
        <v>15300</v>
      </c>
      <c r="G162" s="33" t="s">
        <v>9</v>
      </c>
      <c r="H162" s="33" t="s">
        <v>164</v>
      </c>
    </row>
    <row r="163" spans="1:8" ht="21" x14ac:dyDescent="0.25">
      <c r="A163" s="33" t="s">
        <v>549</v>
      </c>
      <c r="B163" s="33" t="s">
        <v>478</v>
      </c>
      <c r="C163" s="33">
        <v>20</v>
      </c>
      <c r="D163" s="33" t="s">
        <v>67</v>
      </c>
      <c r="E163" s="34">
        <v>34000</v>
      </c>
      <c r="F163" s="34">
        <v>33500</v>
      </c>
      <c r="G163" s="33" t="s">
        <v>9</v>
      </c>
      <c r="H163" s="33" t="s">
        <v>164</v>
      </c>
    </row>
    <row r="164" spans="1:8" ht="21" x14ac:dyDescent="0.25">
      <c r="A164" s="33" t="s">
        <v>550</v>
      </c>
      <c r="B164" s="33" t="s">
        <v>115</v>
      </c>
      <c r="C164" s="33">
        <v>1</v>
      </c>
      <c r="D164" s="33" t="s">
        <v>67</v>
      </c>
      <c r="E164" s="34">
        <v>85000</v>
      </c>
      <c r="F164" s="34">
        <v>83500</v>
      </c>
      <c r="G164" s="33" t="s">
        <v>7</v>
      </c>
      <c r="H164" s="33" t="s">
        <v>325</v>
      </c>
    </row>
    <row r="165" spans="1:8" ht="21" x14ac:dyDescent="0.25">
      <c r="A165" s="33" t="s">
        <v>551</v>
      </c>
      <c r="B165" s="33" t="s">
        <v>114</v>
      </c>
      <c r="C165" s="33">
        <v>1</v>
      </c>
      <c r="D165" s="33" t="s">
        <v>67</v>
      </c>
      <c r="E165" s="34">
        <v>109000</v>
      </c>
      <c r="F165" s="34">
        <v>108000</v>
      </c>
      <c r="G165" s="33" t="s">
        <v>7</v>
      </c>
      <c r="H165" s="33" t="s">
        <v>325</v>
      </c>
    </row>
    <row r="166" spans="1:8" ht="21" x14ac:dyDescent="0.25">
      <c r="A166" s="33" t="s">
        <v>552</v>
      </c>
      <c r="B166" s="33" t="s">
        <v>366</v>
      </c>
      <c r="C166" s="33">
        <v>1</v>
      </c>
      <c r="D166" s="33" t="s">
        <v>55</v>
      </c>
      <c r="E166" s="34">
        <v>13700</v>
      </c>
      <c r="F166" s="34">
        <v>13300</v>
      </c>
      <c r="G166" s="33" t="s">
        <v>7</v>
      </c>
      <c r="H166" s="33" t="s">
        <v>325</v>
      </c>
    </row>
    <row r="167" spans="1:8" ht="21" x14ac:dyDescent="0.25">
      <c r="A167" s="33" t="s">
        <v>553</v>
      </c>
      <c r="B167" s="33" t="s">
        <v>367</v>
      </c>
      <c r="C167" s="33">
        <v>1</v>
      </c>
      <c r="D167" s="33" t="s">
        <v>55</v>
      </c>
      <c r="E167" s="34">
        <v>13700</v>
      </c>
      <c r="F167" s="34">
        <v>13300</v>
      </c>
      <c r="G167" s="33" t="s">
        <v>7</v>
      </c>
      <c r="H167" s="33" t="s">
        <v>325</v>
      </c>
    </row>
    <row r="168" spans="1:8" ht="21" x14ac:dyDescent="0.25">
      <c r="A168" s="33" t="s">
        <v>554</v>
      </c>
      <c r="B168" s="33" t="s">
        <v>365</v>
      </c>
      <c r="C168" s="33">
        <v>1</v>
      </c>
      <c r="D168" s="33" t="s">
        <v>55</v>
      </c>
      <c r="E168" s="34">
        <v>13700</v>
      </c>
      <c r="F168" s="34">
        <v>13300</v>
      </c>
      <c r="G168" s="33" t="s">
        <v>7</v>
      </c>
      <c r="H168" s="33" t="s">
        <v>325</v>
      </c>
    </row>
    <row r="169" spans="1:8" ht="21" x14ac:dyDescent="0.25">
      <c r="A169" s="33" t="s">
        <v>555</v>
      </c>
      <c r="B169" s="33" t="s">
        <v>362</v>
      </c>
      <c r="C169" s="33">
        <v>1</v>
      </c>
      <c r="D169" s="33" t="s">
        <v>55</v>
      </c>
      <c r="E169" s="34">
        <v>13700</v>
      </c>
      <c r="F169" s="34">
        <v>13300</v>
      </c>
      <c r="G169" s="33" t="s">
        <v>7</v>
      </c>
      <c r="H169" s="33" t="s">
        <v>325</v>
      </c>
    </row>
    <row r="170" spans="1:8" ht="21" x14ac:dyDescent="0.25">
      <c r="A170" s="33" t="s">
        <v>556</v>
      </c>
      <c r="B170" s="33" t="s">
        <v>364</v>
      </c>
      <c r="C170" s="33">
        <v>1</v>
      </c>
      <c r="D170" s="33" t="s">
        <v>55</v>
      </c>
      <c r="E170" s="34">
        <v>13700</v>
      </c>
      <c r="F170" s="34">
        <v>13300</v>
      </c>
      <c r="G170" s="33" t="s">
        <v>7</v>
      </c>
      <c r="H170" s="33" t="s">
        <v>325</v>
      </c>
    </row>
    <row r="171" spans="1:8" ht="21" x14ac:dyDescent="0.25">
      <c r="A171" s="33" t="s">
        <v>557</v>
      </c>
      <c r="B171" s="33" t="s">
        <v>363</v>
      </c>
      <c r="C171" s="33">
        <v>1</v>
      </c>
      <c r="D171" s="33" t="s">
        <v>55</v>
      </c>
      <c r="E171" s="34">
        <v>13700</v>
      </c>
      <c r="F171" s="34">
        <v>13300</v>
      </c>
      <c r="G171" s="33" t="s">
        <v>7</v>
      </c>
      <c r="H171" s="33" t="s">
        <v>325</v>
      </c>
    </row>
    <row r="172" spans="1:8" ht="21" x14ac:dyDescent="0.25">
      <c r="A172" s="33" t="s">
        <v>558</v>
      </c>
      <c r="B172" s="33" t="s">
        <v>361</v>
      </c>
      <c r="C172" s="33">
        <v>1</v>
      </c>
      <c r="D172" s="33" t="s">
        <v>55</v>
      </c>
      <c r="E172" s="34">
        <v>13700</v>
      </c>
      <c r="F172" s="34">
        <v>13300</v>
      </c>
      <c r="G172" s="33" t="s">
        <v>7</v>
      </c>
      <c r="H172" s="33" t="s">
        <v>325</v>
      </c>
    </row>
    <row r="173" spans="1:8" ht="21" x14ac:dyDescent="0.25">
      <c r="A173" s="33" t="s">
        <v>559</v>
      </c>
      <c r="B173" s="33" t="s">
        <v>368</v>
      </c>
      <c r="C173" s="33">
        <v>1</v>
      </c>
      <c r="D173" s="33" t="s">
        <v>55</v>
      </c>
      <c r="E173" s="34">
        <v>13700</v>
      </c>
      <c r="F173" s="34">
        <v>13300</v>
      </c>
      <c r="G173" s="33" t="s">
        <v>7</v>
      </c>
      <c r="H173" s="33" t="s">
        <v>325</v>
      </c>
    </row>
    <row r="174" spans="1:8" ht="21" x14ac:dyDescent="0.25">
      <c r="A174" s="33" t="s">
        <v>560</v>
      </c>
      <c r="B174" s="33" t="s">
        <v>536</v>
      </c>
      <c r="C174" s="33">
        <v>1</v>
      </c>
      <c r="D174" s="33" t="s">
        <v>67</v>
      </c>
      <c r="E174" s="34">
        <v>25700</v>
      </c>
      <c r="F174" s="34">
        <v>0</v>
      </c>
      <c r="G174" s="33" t="s">
        <v>7</v>
      </c>
      <c r="H174" s="33" t="s">
        <v>325</v>
      </c>
    </row>
    <row r="175" spans="1:8" ht="21" x14ac:dyDescent="0.25">
      <c r="A175" s="33" t="s">
        <v>561</v>
      </c>
      <c r="B175" s="33" t="s">
        <v>537</v>
      </c>
      <c r="C175" s="33">
        <v>1</v>
      </c>
      <c r="D175" s="33" t="s">
        <v>67</v>
      </c>
      <c r="E175" s="34">
        <v>31000</v>
      </c>
      <c r="F175" s="34">
        <v>29000</v>
      </c>
      <c r="G175" s="33" t="s">
        <v>7</v>
      </c>
      <c r="H175" s="33" t="s">
        <v>325</v>
      </c>
    </row>
    <row r="176" spans="1:8" ht="21" x14ac:dyDescent="0.25">
      <c r="A176" s="33" t="s">
        <v>562</v>
      </c>
      <c r="B176" s="33" t="s">
        <v>360</v>
      </c>
      <c r="C176" s="33">
        <v>1</v>
      </c>
      <c r="D176" s="33" t="s">
        <v>55</v>
      </c>
      <c r="E176" s="34">
        <v>10500</v>
      </c>
      <c r="F176" s="34">
        <v>10300</v>
      </c>
      <c r="G176" s="33" t="s">
        <v>7</v>
      </c>
      <c r="H176" s="33" t="s">
        <v>325</v>
      </c>
    </row>
    <row r="177" spans="1:8" ht="21" x14ac:dyDescent="0.25">
      <c r="A177" s="33" t="s">
        <v>563</v>
      </c>
      <c r="B177" s="33" t="s">
        <v>359</v>
      </c>
      <c r="C177" s="33">
        <v>1</v>
      </c>
      <c r="D177" s="33" t="s">
        <v>55</v>
      </c>
      <c r="E177" s="34">
        <v>10500</v>
      </c>
      <c r="F177" s="34">
        <v>10300</v>
      </c>
      <c r="G177" s="33" t="s">
        <v>7</v>
      </c>
      <c r="H177" s="33" t="s">
        <v>325</v>
      </c>
    </row>
    <row r="178" spans="1:8" ht="21" x14ac:dyDescent="0.25">
      <c r="A178" s="33" t="s">
        <v>564</v>
      </c>
      <c r="B178" s="33" t="s">
        <v>402</v>
      </c>
      <c r="C178" s="33">
        <v>15</v>
      </c>
      <c r="D178" s="33" t="s">
        <v>322</v>
      </c>
      <c r="E178" s="34">
        <v>6500</v>
      </c>
      <c r="F178" s="34">
        <v>6200</v>
      </c>
      <c r="G178" s="33" t="s">
        <v>7</v>
      </c>
      <c r="H178" s="33" t="s">
        <v>325</v>
      </c>
    </row>
    <row r="179" spans="1:8" ht="21" x14ac:dyDescent="0.25">
      <c r="A179" s="33" t="s">
        <v>565</v>
      </c>
      <c r="B179" s="33" t="s">
        <v>403</v>
      </c>
      <c r="C179" s="33">
        <v>15</v>
      </c>
      <c r="D179" s="33" t="s">
        <v>322</v>
      </c>
      <c r="E179" s="34">
        <v>6500</v>
      </c>
      <c r="F179" s="34">
        <v>6200</v>
      </c>
      <c r="G179" s="33" t="s">
        <v>7</v>
      </c>
      <c r="H179" s="33" t="s">
        <v>325</v>
      </c>
    </row>
    <row r="180" spans="1:8" ht="21" x14ac:dyDescent="0.25">
      <c r="A180" s="33" t="s">
        <v>566</v>
      </c>
      <c r="B180" s="33" t="s">
        <v>404</v>
      </c>
      <c r="C180" s="33">
        <v>6</v>
      </c>
      <c r="D180" s="33" t="s">
        <v>33</v>
      </c>
      <c r="E180" s="34">
        <v>27500</v>
      </c>
      <c r="F180" s="34">
        <v>27300</v>
      </c>
      <c r="G180" s="33" t="s">
        <v>7</v>
      </c>
      <c r="H180" s="33" t="s">
        <v>325</v>
      </c>
    </row>
    <row r="181" spans="1:8" ht="21" x14ac:dyDescent="0.25">
      <c r="A181" s="33" t="s">
        <v>567</v>
      </c>
      <c r="B181" s="33" t="s">
        <v>405</v>
      </c>
      <c r="C181" s="33">
        <v>6</v>
      </c>
      <c r="D181" s="33" t="s">
        <v>33</v>
      </c>
      <c r="E181" s="34">
        <v>27500</v>
      </c>
      <c r="F181" s="34">
        <v>27300</v>
      </c>
      <c r="G181" s="33" t="s">
        <v>7</v>
      </c>
      <c r="H181" s="33" t="s">
        <v>325</v>
      </c>
    </row>
    <row r="182" spans="1:8" ht="21" x14ac:dyDescent="0.25">
      <c r="A182" s="33" t="s">
        <v>568</v>
      </c>
      <c r="B182" s="33" t="s">
        <v>406</v>
      </c>
      <c r="C182" s="33">
        <v>6</v>
      </c>
      <c r="D182" s="33" t="s">
        <v>33</v>
      </c>
      <c r="E182" s="34">
        <v>27500</v>
      </c>
      <c r="F182" s="34">
        <v>27300</v>
      </c>
      <c r="G182" s="33" t="s">
        <v>7</v>
      </c>
      <c r="H182" s="33" t="s">
        <v>325</v>
      </c>
    </row>
    <row r="183" spans="1:8" ht="21" x14ac:dyDescent="0.25">
      <c r="A183" s="33" t="s">
        <v>569</v>
      </c>
      <c r="B183" s="33" t="s">
        <v>407</v>
      </c>
      <c r="C183" s="33">
        <v>6</v>
      </c>
      <c r="D183" s="33" t="s">
        <v>33</v>
      </c>
      <c r="E183" s="34">
        <v>27500</v>
      </c>
      <c r="F183" s="34">
        <v>27300</v>
      </c>
      <c r="G183" s="33" t="s">
        <v>7</v>
      </c>
      <c r="H183" s="33" t="s">
        <v>325</v>
      </c>
    </row>
    <row r="184" spans="1:8" ht="21" x14ac:dyDescent="0.25">
      <c r="A184" s="33" t="s">
        <v>570</v>
      </c>
      <c r="B184" s="33" t="s">
        <v>410</v>
      </c>
      <c r="C184" s="33">
        <v>1</v>
      </c>
      <c r="D184" s="33" t="s">
        <v>55</v>
      </c>
      <c r="E184" s="34">
        <v>19800</v>
      </c>
      <c r="F184" s="34">
        <v>19500</v>
      </c>
      <c r="G184" s="33" t="s">
        <v>7</v>
      </c>
      <c r="H184" s="33" t="s">
        <v>325</v>
      </c>
    </row>
    <row r="185" spans="1:8" ht="21" x14ac:dyDescent="0.25">
      <c r="A185" s="33" t="s">
        <v>571</v>
      </c>
      <c r="B185" s="33" t="s">
        <v>411</v>
      </c>
      <c r="C185" s="33">
        <v>1</v>
      </c>
      <c r="D185" s="33" t="s">
        <v>67</v>
      </c>
      <c r="E185" s="34">
        <v>15800</v>
      </c>
      <c r="F185" s="34">
        <v>15500</v>
      </c>
      <c r="G185" s="33" t="s">
        <v>7</v>
      </c>
      <c r="H185" s="33" t="s">
        <v>325</v>
      </c>
    </row>
    <row r="186" spans="1:8" ht="21" x14ac:dyDescent="0.25">
      <c r="A186" s="33" t="s">
        <v>572</v>
      </c>
      <c r="B186" s="33" t="s">
        <v>416</v>
      </c>
      <c r="C186" s="33">
        <v>12</v>
      </c>
      <c r="D186" s="33" t="s">
        <v>55</v>
      </c>
      <c r="E186" s="34">
        <v>22000</v>
      </c>
      <c r="F186" s="34">
        <v>21800</v>
      </c>
      <c r="G186" s="33" t="s">
        <v>7</v>
      </c>
      <c r="H186" s="33" t="s">
        <v>325</v>
      </c>
    </row>
    <row r="187" spans="1:8" ht="21" x14ac:dyDescent="0.25">
      <c r="A187" s="33" t="s">
        <v>573</v>
      </c>
      <c r="B187" s="33" t="s">
        <v>417</v>
      </c>
      <c r="C187" s="33">
        <v>12</v>
      </c>
      <c r="D187" s="33" t="s">
        <v>55</v>
      </c>
      <c r="E187" s="34">
        <v>22000</v>
      </c>
      <c r="F187" s="34">
        <v>21800</v>
      </c>
      <c r="G187" s="33" t="s">
        <v>7</v>
      </c>
      <c r="H187" s="33" t="s">
        <v>164</v>
      </c>
    </row>
    <row r="188" spans="1:8" ht="21" x14ac:dyDescent="0.25">
      <c r="A188" s="33" t="s">
        <v>574</v>
      </c>
      <c r="B188" s="33" t="s">
        <v>420</v>
      </c>
      <c r="C188" s="33">
        <v>1</v>
      </c>
      <c r="D188" s="33" t="s">
        <v>33</v>
      </c>
      <c r="E188" s="34">
        <v>38500</v>
      </c>
      <c r="F188" s="34">
        <v>38200</v>
      </c>
      <c r="G188" s="33" t="s">
        <v>7</v>
      </c>
      <c r="H188" s="33" t="s">
        <v>325</v>
      </c>
    </row>
    <row r="189" spans="1:8" ht="21" x14ac:dyDescent="0.25">
      <c r="A189" s="33" t="s">
        <v>575</v>
      </c>
      <c r="B189" s="33" t="s">
        <v>421</v>
      </c>
      <c r="C189" s="33">
        <v>1</v>
      </c>
      <c r="D189" s="33" t="s">
        <v>33</v>
      </c>
      <c r="E189" s="34">
        <v>38500</v>
      </c>
      <c r="F189" s="34">
        <v>38200</v>
      </c>
      <c r="G189" s="33" t="s">
        <v>7</v>
      </c>
      <c r="H189" s="33" t="s">
        <v>325</v>
      </c>
    </row>
    <row r="190" spans="1:8" ht="21" x14ac:dyDescent="0.25">
      <c r="A190" s="33" t="s">
        <v>576</v>
      </c>
      <c r="B190" s="33" t="s">
        <v>422</v>
      </c>
      <c r="C190" s="33">
        <v>1</v>
      </c>
      <c r="D190" s="33" t="s">
        <v>33</v>
      </c>
      <c r="E190" s="34">
        <v>38500</v>
      </c>
      <c r="F190" s="34">
        <v>38200</v>
      </c>
      <c r="G190" s="33" t="s">
        <v>7</v>
      </c>
      <c r="H190" s="33" t="s">
        <v>325</v>
      </c>
    </row>
    <row r="191" spans="1:8" ht="21" x14ac:dyDescent="0.25">
      <c r="A191" s="33" t="s">
        <v>577</v>
      </c>
      <c r="B191" s="33" t="s">
        <v>353</v>
      </c>
      <c r="C191" s="33">
        <v>1</v>
      </c>
      <c r="D191" s="33" t="s">
        <v>55</v>
      </c>
      <c r="E191" s="34">
        <v>27000</v>
      </c>
      <c r="F191" s="34">
        <v>26500</v>
      </c>
      <c r="G191" s="33" t="s">
        <v>7</v>
      </c>
      <c r="H191" s="33" t="s">
        <v>325</v>
      </c>
    </row>
    <row r="192" spans="1:8" ht="21" x14ac:dyDescent="0.25">
      <c r="A192" s="33" t="s">
        <v>578</v>
      </c>
      <c r="B192" s="33" t="s">
        <v>356</v>
      </c>
      <c r="C192" s="33">
        <v>1</v>
      </c>
      <c r="D192" s="33" t="s">
        <v>55</v>
      </c>
      <c r="E192" s="34">
        <v>30500</v>
      </c>
      <c r="F192" s="34">
        <v>30200</v>
      </c>
      <c r="G192" s="33" t="s">
        <v>7</v>
      </c>
      <c r="H192" s="33" t="s">
        <v>325</v>
      </c>
    </row>
    <row r="193" spans="1:8" ht="21" x14ac:dyDescent="0.25">
      <c r="A193" s="33" t="s">
        <v>579</v>
      </c>
      <c r="B193" s="33" t="s">
        <v>354</v>
      </c>
      <c r="C193" s="33">
        <v>1</v>
      </c>
      <c r="D193" s="33" t="s">
        <v>55</v>
      </c>
      <c r="E193" s="34">
        <v>27000</v>
      </c>
      <c r="F193" s="34">
        <v>26500</v>
      </c>
      <c r="G193" s="33" t="s">
        <v>7</v>
      </c>
      <c r="H193" s="33" t="s">
        <v>325</v>
      </c>
    </row>
    <row r="194" spans="1:8" ht="21" x14ac:dyDescent="0.25">
      <c r="A194" s="33" t="s">
        <v>580</v>
      </c>
      <c r="B194" s="33" t="s">
        <v>355</v>
      </c>
      <c r="C194" s="33">
        <v>1</v>
      </c>
      <c r="D194" s="33" t="s">
        <v>55</v>
      </c>
      <c r="E194" s="34">
        <v>27000</v>
      </c>
      <c r="F194" s="34">
        <v>26500</v>
      </c>
      <c r="G194" s="33" t="s">
        <v>7</v>
      </c>
      <c r="H194" s="33" t="s">
        <v>325</v>
      </c>
    </row>
    <row r="195" spans="1:8" ht="21" x14ac:dyDescent="0.25">
      <c r="A195" s="33" t="s">
        <v>581</v>
      </c>
      <c r="B195" s="33" t="s">
        <v>337</v>
      </c>
      <c r="C195" s="33">
        <v>1</v>
      </c>
      <c r="D195" s="33" t="s">
        <v>67</v>
      </c>
      <c r="E195" s="34">
        <v>6500</v>
      </c>
      <c r="F195" s="34">
        <v>6300</v>
      </c>
      <c r="G195" s="33" t="s">
        <v>7</v>
      </c>
      <c r="H195" s="33" t="s">
        <v>325</v>
      </c>
    </row>
    <row r="196" spans="1:8" ht="21" x14ac:dyDescent="0.25">
      <c r="A196" s="33" t="s">
        <v>582</v>
      </c>
      <c r="B196" s="33" t="s">
        <v>336</v>
      </c>
      <c r="C196" s="33">
        <v>1</v>
      </c>
      <c r="D196" s="33" t="s">
        <v>67</v>
      </c>
      <c r="E196" s="34">
        <v>6500</v>
      </c>
      <c r="F196" s="34">
        <v>6300</v>
      </c>
      <c r="G196" s="33" t="s">
        <v>7</v>
      </c>
      <c r="H196" s="33" t="s">
        <v>325</v>
      </c>
    </row>
    <row r="197" spans="1:8" ht="21" x14ac:dyDescent="0.25">
      <c r="A197" s="33" t="s">
        <v>583</v>
      </c>
      <c r="B197" s="33" t="s">
        <v>338</v>
      </c>
      <c r="C197" s="33">
        <v>1</v>
      </c>
      <c r="D197" s="33" t="s">
        <v>67</v>
      </c>
      <c r="E197" s="34">
        <v>6500</v>
      </c>
      <c r="F197" s="34">
        <v>6300</v>
      </c>
      <c r="G197" s="33" t="s">
        <v>7</v>
      </c>
      <c r="H197" s="33" t="s">
        <v>325</v>
      </c>
    </row>
    <row r="198" spans="1:8" ht="21" x14ac:dyDescent="0.25">
      <c r="A198" s="33" t="s">
        <v>584</v>
      </c>
      <c r="B198" s="33" t="s">
        <v>439</v>
      </c>
      <c r="C198" s="33">
        <v>8</v>
      </c>
      <c r="D198" s="33" t="s">
        <v>36</v>
      </c>
      <c r="E198" s="34">
        <v>23700</v>
      </c>
      <c r="F198" s="34">
        <v>23500</v>
      </c>
      <c r="G198" s="33" t="s">
        <v>7</v>
      </c>
      <c r="H198" s="33" t="s">
        <v>325</v>
      </c>
    </row>
    <row r="199" spans="1:8" ht="21" x14ac:dyDescent="0.25">
      <c r="A199" s="33" t="s">
        <v>585</v>
      </c>
      <c r="B199" s="33" t="s">
        <v>440</v>
      </c>
      <c r="C199" s="33">
        <v>8</v>
      </c>
      <c r="D199" s="33" t="s">
        <v>36</v>
      </c>
      <c r="E199" s="34">
        <v>23700</v>
      </c>
      <c r="F199" s="34">
        <v>23500</v>
      </c>
      <c r="G199" s="33" t="s">
        <v>7</v>
      </c>
      <c r="H199" s="33" t="s">
        <v>325</v>
      </c>
    </row>
    <row r="200" spans="1:8" ht="21" x14ac:dyDescent="0.25">
      <c r="A200" s="33" t="s">
        <v>586</v>
      </c>
      <c r="B200" s="33" t="s">
        <v>441</v>
      </c>
      <c r="C200" s="33">
        <v>8</v>
      </c>
      <c r="D200" s="33" t="s">
        <v>36</v>
      </c>
      <c r="E200" s="34">
        <v>23700</v>
      </c>
      <c r="F200" s="34">
        <v>23500</v>
      </c>
      <c r="G200" s="33" t="s">
        <v>7</v>
      </c>
      <c r="H200" s="33" t="s">
        <v>325</v>
      </c>
    </row>
    <row r="201" spans="1:8" ht="21" x14ac:dyDescent="0.25">
      <c r="A201" s="33" t="s">
        <v>587</v>
      </c>
      <c r="B201" s="33" t="s">
        <v>442</v>
      </c>
      <c r="C201" s="33">
        <v>8</v>
      </c>
      <c r="D201" s="33" t="s">
        <v>36</v>
      </c>
      <c r="E201" s="34">
        <v>23700</v>
      </c>
      <c r="F201" s="34">
        <v>23500</v>
      </c>
      <c r="G201" s="33" t="s">
        <v>7</v>
      </c>
      <c r="H201" s="33" t="s">
        <v>325</v>
      </c>
    </row>
    <row r="202" spans="1:8" ht="21" x14ac:dyDescent="0.25">
      <c r="A202" s="33" t="s">
        <v>588</v>
      </c>
      <c r="B202" s="33" t="s">
        <v>443</v>
      </c>
      <c r="C202" s="33">
        <v>8</v>
      </c>
      <c r="D202" s="33" t="s">
        <v>36</v>
      </c>
      <c r="E202" s="34">
        <v>23700</v>
      </c>
      <c r="F202" s="34">
        <v>23500</v>
      </c>
      <c r="G202" s="33" t="s">
        <v>7</v>
      </c>
      <c r="H202" s="33" t="s">
        <v>325</v>
      </c>
    </row>
    <row r="203" spans="1:8" ht="21" x14ac:dyDescent="0.25">
      <c r="A203" s="33" t="s">
        <v>589</v>
      </c>
      <c r="B203" s="33" t="s">
        <v>444</v>
      </c>
      <c r="C203" s="33">
        <v>8</v>
      </c>
      <c r="D203" s="33" t="s">
        <v>36</v>
      </c>
      <c r="E203" s="34">
        <v>23700</v>
      </c>
      <c r="F203" s="34">
        <v>23500</v>
      </c>
      <c r="G203" s="33" t="s">
        <v>7</v>
      </c>
      <c r="H203" s="33" t="s">
        <v>325</v>
      </c>
    </row>
    <row r="204" spans="1:8" ht="21" x14ac:dyDescent="0.25">
      <c r="A204" s="33" t="s">
        <v>590</v>
      </c>
      <c r="B204" s="33" t="s">
        <v>445</v>
      </c>
      <c r="C204" s="33">
        <v>8</v>
      </c>
      <c r="D204" s="33" t="s">
        <v>36</v>
      </c>
      <c r="E204" s="34">
        <v>23700</v>
      </c>
      <c r="F204" s="34">
        <v>23500</v>
      </c>
      <c r="G204" s="33" t="s">
        <v>7</v>
      </c>
      <c r="H204" s="33" t="s">
        <v>325</v>
      </c>
    </row>
    <row r="205" spans="1:8" ht="21" x14ac:dyDescent="0.25">
      <c r="A205" s="33" t="s">
        <v>591</v>
      </c>
      <c r="B205" s="33" t="s">
        <v>446</v>
      </c>
      <c r="C205" s="33">
        <v>8</v>
      </c>
      <c r="D205" s="33" t="s">
        <v>36</v>
      </c>
      <c r="E205" s="34">
        <v>23700</v>
      </c>
      <c r="F205" s="34">
        <v>23500</v>
      </c>
      <c r="G205" s="33" t="s">
        <v>7</v>
      </c>
      <c r="H205" s="33" t="s">
        <v>325</v>
      </c>
    </row>
    <row r="206" spans="1:8" ht="21" x14ac:dyDescent="0.25">
      <c r="A206" s="33" t="s">
        <v>592</v>
      </c>
      <c r="B206" s="33" t="s">
        <v>335</v>
      </c>
      <c r="C206" s="33">
        <v>1</v>
      </c>
      <c r="D206" s="33" t="s">
        <v>55</v>
      </c>
      <c r="E206" s="34">
        <v>16000</v>
      </c>
      <c r="F206" s="34">
        <v>15500</v>
      </c>
      <c r="G206" s="33" t="s">
        <v>7</v>
      </c>
      <c r="H206" s="33" t="s">
        <v>325</v>
      </c>
    </row>
    <row r="207" spans="1:8" ht="21" x14ac:dyDescent="0.25">
      <c r="A207" s="33" t="s">
        <v>593</v>
      </c>
      <c r="B207" s="33" t="s">
        <v>334</v>
      </c>
      <c r="C207" s="33">
        <v>1</v>
      </c>
      <c r="D207" s="33" t="s">
        <v>55</v>
      </c>
      <c r="E207" s="34">
        <v>16000</v>
      </c>
      <c r="F207" s="34">
        <v>15500</v>
      </c>
      <c r="G207" s="33" t="s">
        <v>7</v>
      </c>
      <c r="H207" s="33" t="s">
        <v>325</v>
      </c>
    </row>
    <row r="208" spans="1:8" ht="21" x14ac:dyDescent="0.25">
      <c r="A208" s="33" t="s">
        <v>594</v>
      </c>
      <c r="B208" s="33" t="s">
        <v>333</v>
      </c>
      <c r="C208" s="33">
        <v>1</v>
      </c>
      <c r="D208" s="33" t="s">
        <v>55</v>
      </c>
      <c r="E208" s="34">
        <v>16000</v>
      </c>
      <c r="F208" s="34">
        <v>15500</v>
      </c>
      <c r="G208" s="33" t="s">
        <v>7</v>
      </c>
      <c r="H208" s="33" t="s">
        <v>325</v>
      </c>
    </row>
    <row r="209" spans="1:8" ht="21" x14ac:dyDescent="0.25">
      <c r="A209" s="33" t="s">
        <v>595</v>
      </c>
      <c r="B209" s="33" t="s">
        <v>332</v>
      </c>
      <c r="C209" s="33">
        <v>1</v>
      </c>
      <c r="D209" s="33" t="s">
        <v>55</v>
      </c>
      <c r="E209" s="34">
        <v>16000</v>
      </c>
      <c r="F209" s="34">
        <v>15500</v>
      </c>
      <c r="G209" s="33" t="s">
        <v>7</v>
      </c>
      <c r="H209" s="33" t="s">
        <v>325</v>
      </c>
    </row>
    <row r="210" spans="1:8" ht="21" x14ac:dyDescent="0.25">
      <c r="A210" s="33" t="s">
        <v>596</v>
      </c>
      <c r="B210" s="33" t="s">
        <v>158</v>
      </c>
      <c r="C210" s="33">
        <v>12</v>
      </c>
      <c r="D210" s="33" t="s">
        <v>12</v>
      </c>
      <c r="E210" s="34">
        <v>3500</v>
      </c>
      <c r="F210" s="34">
        <v>0</v>
      </c>
      <c r="G210" s="33" t="s">
        <v>7</v>
      </c>
      <c r="H210" s="33" t="s">
        <v>325</v>
      </c>
    </row>
    <row r="211" spans="1:8" ht="21" x14ac:dyDescent="0.25">
      <c r="A211" s="33" t="s">
        <v>597</v>
      </c>
      <c r="B211" s="33" t="s">
        <v>447</v>
      </c>
      <c r="C211" s="33">
        <v>3</v>
      </c>
      <c r="D211" s="33" t="s">
        <v>36</v>
      </c>
      <c r="E211" s="34">
        <v>15500</v>
      </c>
      <c r="F211" s="34">
        <v>0</v>
      </c>
      <c r="G211" s="33" t="s">
        <v>7</v>
      </c>
      <c r="H211" s="33" t="s">
        <v>325</v>
      </c>
    </row>
    <row r="212" spans="1:8" ht="21" x14ac:dyDescent="0.25">
      <c r="A212" s="33" t="s">
        <v>598</v>
      </c>
      <c r="B212" s="33" t="s">
        <v>448</v>
      </c>
      <c r="C212" s="33">
        <v>1</v>
      </c>
      <c r="D212" s="33" t="s">
        <v>322</v>
      </c>
      <c r="E212" s="34">
        <v>6500</v>
      </c>
      <c r="F212" s="34">
        <v>0</v>
      </c>
      <c r="G212" s="33" t="s">
        <v>7</v>
      </c>
      <c r="H212" s="33" t="s">
        <v>325</v>
      </c>
    </row>
    <row r="213" spans="1:8" ht="21" x14ac:dyDescent="0.25">
      <c r="A213" s="33" t="s">
        <v>599</v>
      </c>
      <c r="B213" s="33" t="s">
        <v>465</v>
      </c>
      <c r="C213" s="33">
        <v>8</v>
      </c>
      <c r="D213" s="33" t="s">
        <v>67</v>
      </c>
      <c r="E213" s="34">
        <v>43000</v>
      </c>
      <c r="F213" s="34">
        <v>42500</v>
      </c>
      <c r="G213" s="33" t="s">
        <v>7</v>
      </c>
      <c r="H213" s="33" t="s">
        <v>325</v>
      </c>
    </row>
    <row r="214" spans="1:8" ht="21" x14ac:dyDescent="0.25">
      <c r="A214" s="33" t="s">
        <v>600</v>
      </c>
      <c r="B214" s="33" t="s">
        <v>466</v>
      </c>
      <c r="C214" s="33">
        <v>1</v>
      </c>
      <c r="D214" s="33" t="s">
        <v>33</v>
      </c>
      <c r="E214" s="34">
        <v>41500</v>
      </c>
      <c r="F214" s="34">
        <v>40700</v>
      </c>
      <c r="G214" s="33" t="s">
        <v>7</v>
      </c>
      <c r="H214" s="33" t="s">
        <v>325</v>
      </c>
    </row>
    <row r="215" spans="1:8" ht="21" x14ac:dyDescent="0.25">
      <c r="A215" s="33" t="s">
        <v>601</v>
      </c>
      <c r="B215" s="33" t="s">
        <v>467</v>
      </c>
      <c r="C215" s="33">
        <v>8</v>
      </c>
      <c r="D215" s="33" t="s">
        <v>67</v>
      </c>
      <c r="E215" s="34">
        <v>43000</v>
      </c>
      <c r="F215" s="34">
        <v>42500</v>
      </c>
      <c r="G215" s="33" t="s">
        <v>7</v>
      </c>
      <c r="H215" s="33" t="s">
        <v>325</v>
      </c>
    </row>
    <row r="216" spans="1:8" ht="21" x14ac:dyDescent="0.25">
      <c r="A216" s="33" t="s">
        <v>602</v>
      </c>
      <c r="B216" s="33" t="s">
        <v>468</v>
      </c>
      <c r="C216" s="33">
        <v>1</v>
      </c>
      <c r="D216" s="33" t="s">
        <v>67</v>
      </c>
      <c r="E216" s="34">
        <v>16000</v>
      </c>
      <c r="F216" s="34">
        <v>15900</v>
      </c>
      <c r="G216" s="33" t="s">
        <v>7</v>
      </c>
      <c r="H216" s="33" t="s">
        <v>325</v>
      </c>
    </row>
    <row r="217" spans="1:8" ht="21" x14ac:dyDescent="0.25">
      <c r="A217" s="33" t="s">
        <v>603</v>
      </c>
      <c r="B217" s="33" t="s">
        <v>119</v>
      </c>
      <c r="C217" s="33">
        <v>1</v>
      </c>
      <c r="D217" s="33" t="s">
        <v>55</v>
      </c>
      <c r="E217" s="34">
        <v>31000</v>
      </c>
      <c r="F217" s="34">
        <v>30000</v>
      </c>
      <c r="G217" s="33" t="s">
        <v>7</v>
      </c>
      <c r="H217" s="33" t="s">
        <v>325</v>
      </c>
    </row>
    <row r="218" spans="1:8" ht="21" x14ac:dyDescent="0.25">
      <c r="A218" s="33" t="s">
        <v>604</v>
      </c>
      <c r="B218" s="33" t="s">
        <v>118</v>
      </c>
      <c r="C218" s="33">
        <v>1</v>
      </c>
      <c r="D218" s="33" t="s">
        <v>55</v>
      </c>
      <c r="E218" s="34">
        <v>30000</v>
      </c>
      <c r="F218" s="34">
        <v>29000</v>
      </c>
      <c r="G218" s="33" t="s">
        <v>7</v>
      </c>
      <c r="H218" s="33" t="s">
        <v>325</v>
      </c>
    </row>
    <row r="219" spans="1:8" ht="21" x14ac:dyDescent="0.25">
      <c r="A219" s="33" t="s">
        <v>605</v>
      </c>
      <c r="B219" s="33" t="s">
        <v>113</v>
      </c>
      <c r="C219" s="33">
        <v>10</v>
      </c>
      <c r="D219" s="33" t="s">
        <v>44</v>
      </c>
      <c r="E219" s="34">
        <v>56000</v>
      </c>
      <c r="F219" s="34">
        <v>0</v>
      </c>
      <c r="G219" s="33" t="s">
        <v>7</v>
      </c>
      <c r="H219" s="33" t="s">
        <v>325</v>
      </c>
    </row>
    <row r="220" spans="1:8" ht="21" x14ac:dyDescent="0.25">
      <c r="A220" s="33" t="s">
        <v>606</v>
      </c>
      <c r="B220" s="33" t="s">
        <v>479</v>
      </c>
      <c r="C220" s="33">
        <v>1</v>
      </c>
      <c r="D220" s="33" t="s">
        <v>44</v>
      </c>
      <c r="E220" s="34">
        <v>14200</v>
      </c>
      <c r="F220" s="34">
        <v>14000</v>
      </c>
      <c r="G220" s="33" t="s">
        <v>7</v>
      </c>
      <c r="H220" s="33" t="s">
        <v>325</v>
      </c>
    </row>
    <row r="221" spans="1:8" ht="21" x14ac:dyDescent="0.25">
      <c r="A221" s="33" t="s">
        <v>607</v>
      </c>
      <c r="B221" s="33" t="s">
        <v>481</v>
      </c>
      <c r="C221" s="33">
        <v>1</v>
      </c>
      <c r="D221" s="33" t="s">
        <v>55</v>
      </c>
      <c r="E221" s="34">
        <v>35500</v>
      </c>
      <c r="F221" s="34">
        <v>34700</v>
      </c>
      <c r="G221" s="33" t="s">
        <v>7</v>
      </c>
      <c r="H221" s="33" t="s">
        <v>325</v>
      </c>
    </row>
    <row r="222" spans="1:8" ht="21" x14ac:dyDescent="0.25">
      <c r="A222" s="33" t="s">
        <v>608</v>
      </c>
      <c r="B222" s="33" t="s">
        <v>343</v>
      </c>
      <c r="C222" s="33">
        <v>1</v>
      </c>
      <c r="D222" s="33" t="s">
        <v>55</v>
      </c>
      <c r="E222" s="34">
        <v>6200</v>
      </c>
      <c r="F222" s="34">
        <v>6050</v>
      </c>
      <c r="G222" s="33" t="s">
        <v>7</v>
      </c>
      <c r="H222" s="33" t="s">
        <v>164</v>
      </c>
    </row>
    <row r="223" spans="1:8" ht="21" x14ac:dyDescent="0.25">
      <c r="A223" s="33" t="s">
        <v>609</v>
      </c>
      <c r="B223" s="33" t="s">
        <v>346</v>
      </c>
      <c r="C223" s="33">
        <v>1</v>
      </c>
      <c r="D223" s="33" t="s">
        <v>55</v>
      </c>
      <c r="E223" s="34">
        <v>6200</v>
      </c>
      <c r="F223" s="34">
        <v>6050</v>
      </c>
      <c r="G223" s="33" t="s">
        <v>7</v>
      </c>
      <c r="H223" s="33" t="s">
        <v>164</v>
      </c>
    </row>
    <row r="224" spans="1:8" ht="21" x14ac:dyDescent="0.25">
      <c r="A224" s="33" t="s">
        <v>610</v>
      </c>
      <c r="B224" s="33" t="s">
        <v>342</v>
      </c>
      <c r="C224" s="33">
        <v>1</v>
      </c>
      <c r="D224" s="33" t="s">
        <v>55</v>
      </c>
      <c r="E224" s="34">
        <v>6200</v>
      </c>
      <c r="F224" s="34">
        <v>6050</v>
      </c>
      <c r="G224" s="33" t="s">
        <v>7</v>
      </c>
      <c r="H224" s="33" t="s">
        <v>164</v>
      </c>
    </row>
    <row r="225" spans="1:8" ht="21" x14ac:dyDescent="0.25">
      <c r="A225" s="33" t="s">
        <v>611</v>
      </c>
      <c r="B225" s="33" t="s">
        <v>344</v>
      </c>
      <c r="C225" s="33">
        <v>1</v>
      </c>
      <c r="D225" s="33" t="s">
        <v>55</v>
      </c>
      <c r="E225" s="34">
        <v>6200</v>
      </c>
      <c r="F225" s="34">
        <v>6050</v>
      </c>
      <c r="G225" s="33" t="s">
        <v>7</v>
      </c>
      <c r="H225" s="33" t="s">
        <v>164</v>
      </c>
    </row>
    <row r="226" spans="1:8" ht="21" x14ac:dyDescent="0.25">
      <c r="A226" s="33" t="s">
        <v>612</v>
      </c>
      <c r="B226" s="33" t="s">
        <v>345</v>
      </c>
      <c r="C226" s="33">
        <v>1</v>
      </c>
      <c r="D226" s="33" t="s">
        <v>55</v>
      </c>
      <c r="E226" s="36">
        <v>6200</v>
      </c>
      <c r="F226" s="36">
        <v>6050</v>
      </c>
      <c r="G226" s="33" t="s">
        <v>7</v>
      </c>
      <c r="H226" s="33" t="s">
        <v>164</v>
      </c>
    </row>
  </sheetData>
  <phoneticPr fontId="8" type="noConversion"/>
  <pageMargins left="0.25" right="0.25" top="0.55000000000000004" bottom="0.5" header="0.25" footer="0.25"/>
  <pageSetup paperSize="11" orientation="landscape" verticalDpi="0" r:id="rId1"/>
  <headerFooter>
    <oddHeader>&amp;C&amp;"ADLaM Display,Regular"&amp;12GTM Distribution - Product Catalog</oddHeader>
    <oddFooter>&amp;R&amp;P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97"/>
  <sheetViews>
    <sheetView topLeftCell="A126" zoomScaleNormal="100" workbookViewId="0">
      <selection activeCell="E136" sqref="E136"/>
    </sheetView>
  </sheetViews>
  <sheetFormatPr defaultColWidth="9.140625" defaultRowHeight="15" outlineLevelCol="1" x14ac:dyDescent="0.2"/>
  <cols>
    <col min="1" max="1" width="10.7109375" style="18" customWidth="1"/>
    <col min="2" max="2" width="34.42578125" style="18" customWidth="1"/>
    <col min="3" max="3" width="5.42578125" style="18" customWidth="1"/>
    <col min="4" max="4" width="9.28515625" style="18" bestFit="1" customWidth="1"/>
    <col min="5" max="5" width="11.28515625" style="23" customWidth="1"/>
    <col min="6" max="6" width="11.28515625" style="18" customWidth="1"/>
    <col min="7" max="7" width="14.85546875" style="18" customWidth="1"/>
    <col min="8" max="8" width="20.140625" style="8" customWidth="1" outlineLevel="1"/>
    <col min="9" max="9" width="11.85546875" style="18" customWidth="1"/>
    <col min="10" max="16384" width="9.140625" style="18"/>
  </cols>
  <sheetData>
    <row r="1" spans="1:8" ht="26.25" customHeight="1" x14ac:dyDescent="0.25">
      <c r="A1" s="16" t="s">
        <v>170</v>
      </c>
      <c r="B1" s="17" t="s">
        <v>162</v>
      </c>
      <c r="C1" s="16" t="s">
        <v>169</v>
      </c>
      <c r="D1" s="16" t="s">
        <v>165</v>
      </c>
      <c r="E1" s="16" t="s">
        <v>167</v>
      </c>
      <c r="F1" s="16" t="s">
        <v>168</v>
      </c>
      <c r="G1" s="16" t="s">
        <v>1</v>
      </c>
      <c r="H1" s="12" t="s">
        <v>163</v>
      </c>
    </row>
    <row r="2" spans="1:8" s="8" customFormat="1" ht="26.25" customHeight="1" x14ac:dyDescent="0.25">
      <c r="A2" s="11" t="s">
        <v>174</v>
      </c>
      <c r="B2" s="20" t="s">
        <v>98</v>
      </c>
      <c r="C2" s="21">
        <v>6</v>
      </c>
      <c r="D2" s="20" t="s">
        <v>67</v>
      </c>
      <c r="E2" s="21">
        <v>96000</v>
      </c>
      <c r="F2" s="21">
        <v>94900</v>
      </c>
      <c r="G2" s="20" t="s">
        <v>6</v>
      </c>
      <c r="H2" s="11" t="s">
        <v>325</v>
      </c>
    </row>
    <row r="3" spans="1:8" ht="26.25" customHeight="1" x14ac:dyDescent="0.25">
      <c r="A3" s="11" t="s">
        <v>175</v>
      </c>
      <c r="B3" s="20" t="s">
        <v>99</v>
      </c>
      <c r="C3" s="21">
        <v>6</v>
      </c>
      <c r="D3" s="20" t="s">
        <v>67</v>
      </c>
      <c r="E3" s="21">
        <v>66000</v>
      </c>
      <c r="F3" s="21">
        <v>65500</v>
      </c>
      <c r="G3" s="20" t="s">
        <v>6</v>
      </c>
      <c r="H3" s="11" t="s">
        <v>325</v>
      </c>
    </row>
    <row r="4" spans="1:8" ht="26.25" customHeight="1" x14ac:dyDescent="0.25">
      <c r="A4" s="11" t="s">
        <v>172</v>
      </c>
      <c r="B4" s="20" t="s">
        <v>96</v>
      </c>
      <c r="C4" s="21">
        <v>8</v>
      </c>
      <c r="D4" s="20" t="s">
        <v>67</v>
      </c>
      <c r="E4" s="21">
        <v>116500</v>
      </c>
      <c r="F4" s="21">
        <v>115500</v>
      </c>
      <c r="G4" s="20" t="s">
        <v>6</v>
      </c>
      <c r="H4" s="11" t="s">
        <v>325</v>
      </c>
    </row>
    <row r="5" spans="1:8" ht="26.25" customHeight="1" x14ac:dyDescent="0.25">
      <c r="A5" s="11" t="s">
        <v>171</v>
      </c>
      <c r="B5" s="9" t="s">
        <v>377</v>
      </c>
      <c r="C5" s="10">
        <v>8</v>
      </c>
      <c r="D5" s="9" t="s">
        <v>67</v>
      </c>
      <c r="E5" s="10">
        <v>121000</v>
      </c>
      <c r="F5" s="9"/>
      <c r="G5" s="9" t="s">
        <v>6</v>
      </c>
      <c r="H5" s="11" t="s">
        <v>164</v>
      </c>
    </row>
    <row r="6" spans="1:8" ht="26.25" customHeight="1" x14ac:dyDescent="0.25">
      <c r="A6" s="11" t="s">
        <v>173</v>
      </c>
      <c r="B6" s="20" t="s">
        <v>97</v>
      </c>
      <c r="C6" s="21">
        <v>8</v>
      </c>
      <c r="D6" s="20" t="s">
        <v>67</v>
      </c>
      <c r="E6" s="21">
        <v>72000</v>
      </c>
      <c r="F6" s="21">
        <v>71000</v>
      </c>
      <c r="G6" s="20" t="s">
        <v>6</v>
      </c>
      <c r="H6" s="11" t="s">
        <v>325</v>
      </c>
    </row>
    <row r="7" spans="1:8" ht="26.25" customHeight="1" x14ac:dyDescent="0.25">
      <c r="A7" s="11" t="s">
        <v>176</v>
      </c>
      <c r="B7" s="20" t="s">
        <v>100</v>
      </c>
      <c r="C7" s="21">
        <v>12</v>
      </c>
      <c r="D7" s="20" t="s">
        <v>55</v>
      </c>
      <c r="E7" s="21">
        <v>39500</v>
      </c>
      <c r="F7" s="21">
        <v>38700</v>
      </c>
      <c r="G7" s="20" t="s">
        <v>6</v>
      </c>
      <c r="H7" s="11" t="s">
        <v>325</v>
      </c>
    </row>
    <row r="8" spans="1:8" ht="26.25" customHeight="1" x14ac:dyDescent="0.25">
      <c r="A8" s="11" t="s">
        <v>177</v>
      </c>
      <c r="B8" s="20" t="s">
        <v>101</v>
      </c>
      <c r="C8" s="21">
        <v>12</v>
      </c>
      <c r="D8" s="20" t="s">
        <v>55</v>
      </c>
      <c r="E8" s="21">
        <v>38700</v>
      </c>
      <c r="F8" s="21">
        <v>38000</v>
      </c>
      <c r="G8" s="20" t="s">
        <v>6</v>
      </c>
      <c r="H8" s="11" t="s">
        <v>325</v>
      </c>
    </row>
    <row r="9" spans="1:8" ht="26.25" customHeight="1" x14ac:dyDescent="0.25">
      <c r="A9" s="11" t="s">
        <v>179</v>
      </c>
      <c r="B9" s="9" t="s">
        <v>103</v>
      </c>
      <c r="C9" s="9"/>
      <c r="D9" s="9" t="s">
        <v>55</v>
      </c>
      <c r="E9" s="10">
        <v>75000</v>
      </c>
      <c r="F9" s="9"/>
      <c r="G9" s="9" t="s">
        <v>6</v>
      </c>
      <c r="H9" s="11" t="s">
        <v>164</v>
      </c>
    </row>
    <row r="10" spans="1:8" s="8" customFormat="1" ht="26.25" customHeight="1" x14ac:dyDescent="0.25">
      <c r="A10" s="11" t="s">
        <v>178</v>
      </c>
      <c r="B10" s="20" t="s">
        <v>102</v>
      </c>
      <c r="C10" s="21">
        <v>12</v>
      </c>
      <c r="D10" s="20" t="s">
        <v>55</v>
      </c>
      <c r="E10" s="21">
        <v>146000</v>
      </c>
      <c r="F10" s="21">
        <v>145500</v>
      </c>
      <c r="G10" s="20" t="s">
        <v>6</v>
      </c>
      <c r="H10" s="11" t="s">
        <v>325</v>
      </c>
    </row>
    <row r="11" spans="1:8" ht="26.25" customHeight="1" x14ac:dyDescent="0.25">
      <c r="A11" s="11" t="s">
        <v>180</v>
      </c>
      <c r="B11" s="20" t="s">
        <v>104</v>
      </c>
      <c r="C11" s="21">
        <v>12</v>
      </c>
      <c r="D11" s="20" t="s">
        <v>55</v>
      </c>
      <c r="E11" s="21">
        <v>168600</v>
      </c>
      <c r="F11" s="21">
        <v>168000</v>
      </c>
      <c r="G11" s="20" t="s">
        <v>6</v>
      </c>
      <c r="H11" s="11" t="s">
        <v>325</v>
      </c>
    </row>
    <row r="12" spans="1:8" ht="26.25" customHeight="1" x14ac:dyDescent="0.25">
      <c r="A12" s="11" t="s">
        <v>181</v>
      </c>
      <c r="B12" s="20" t="s">
        <v>105</v>
      </c>
      <c r="C12" s="22">
        <v>1</v>
      </c>
      <c r="D12" s="20" t="s">
        <v>106</v>
      </c>
      <c r="E12" s="21">
        <v>8200</v>
      </c>
      <c r="F12" s="21">
        <v>7800</v>
      </c>
      <c r="G12" s="20" t="s">
        <v>6</v>
      </c>
      <c r="H12" s="11" t="s">
        <v>325</v>
      </c>
    </row>
    <row r="13" spans="1:8" s="8" customFormat="1" ht="26.25" customHeight="1" x14ac:dyDescent="0.25">
      <c r="A13" s="11" t="s">
        <v>184</v>
      </c>
      <c r="B13" s="20" t="s">
        <v>84</v>
      </c>
      <c r="C13" s="20">
        <v>1</v>
      </c>
      <c r="D13" s="20" t="s">
        <v>39</v>
      </c>
      <c r="E13" s="21">
        <v>20000</v>
      </c>
      <c r="F13" s="20"/>
      <c r="G13" s="20" t="s">
        <v>5</v>
      </c>
      <c r="H13" s="11" t="s">
        <v>325</v>
      </c>
    </row>
    <row r="14" spans="1:8" ht="26.25" customHeight="1" x14ac:dyDescent="0.25">
      <c r="A14" s="11" t="s">
        <v>187</v>
      </c>
      <c r="B14" s="20" t="s">
        <v>87</v>
      </c>
      <c r="C14" s="20">
        <v>1</v>
      </c>
      <c r="D14" s="20" t="s">
        <v>39</v>
      </c>
      <c r="E14" s="21">
        <v>61800</v>
      </c>
      <c r="F14" s="20"/>
      <c r="G14" s="20" t="s">
        <v>5</v>
      </c>
      <c r="H14" s="11" t="s">
        <v>164</v>
      </c>
    </row>
    <row r="15" spans="1:8" ht="26.25" customHeight="1" x14ac:dyDescent="0.25">
      <c r="A15" s="11" t="s">
        <v>189</v>
      </c>
      <c r="B15" s="9" t="s">
        <v>89</v>
      </c>
      <c r="C15" s="10">
        <v>1</v>
      </c>
      <c r="D15" s="9" t="s">
        <v>67</v>
      </c>
      <c r="E15" s="10">
        <v>51000</v>
      </c>
      <c r="F15" s="9"/>
      <c r="G15" s="9" t="s">
        <v>5</v>
      </c>
      <c r="H15" s="11" t="s">
        <v>164</v>
      </c>
    </row>
    <row r="16" spans="1:8" ht="26.25" customHeight="1" x14ac:dyDescent="0.25">
      <c r="A16" s="11" t="s">
        <v>190</v>
      </c>
      <c r="B16" s="20" t="s">
        <v>90</v>
      </c>
      <c r="C16" s="21">
        <v>1</v>
      </c>
      <c r="D16" s="20" t="s">
        <v>39</v>
      </c>
      <c r="E16" s="21">
        <v>94500</v>
      </c>
      <c r="F16" s="21">
        <v>94000</v>
      </c>
      <c r="G16" s="20" t="s">
        <v>5</v>
      </c>
      <c r="H16" s="11" t="s">
        <v>325</v>
      </c>
    </row>
    <row r="17" spans="1:8" ht="26.25" customHeight="1" x14ac:dyDescent="0.25">
      <c r="A17" s="11" t="s">
        <v>196</v>
      </c>
      <c r="B17" s="9" t="s">
        <v>93</v>
      </c>
      <c r="C17" s="10">
        <v>12</v>
      </c>
      <c r="D17" s="9" t="s">
        <v>67</v>
      </c>
      <c r="E17" s="9"/>
      <c r="F17" s="9"/>
      <c r="G17" s="9" t="s">
        <v>5</v>
      </c>
      <c r="H17" s="11" t="s">
        <v>164</v>
      </c>
    </row>
    <row r="18" spans="1:8" ht="26.25" customHeight="1" x14ac:dyDescent="0.25">
      <c r="A18" s="11" t="s">
        <v>195</v>
      </c>
      <c r="B18" s="9" t="s">
        <v>92</v>
      </c>
      <c r="C18" s="10">
        <v>12</v>
      </c>
      <c r="D18" s="9" t="s">
        <v>67</v>
      </c>
      <c r="E18" s="10">
        <v>5200</v>
      </c>
      <c r="F18" s="10">
        <v>4900</v>
      </c>
      <c r="G18" s="9" t="s">
        <v>5</v>
      </c>
      <c r="H18" s="11" t="s">
        <v>164</v>
      </c>
    </row>
    <row r="19" spans="1:8" ht="26.25" customHeight="1" x14ac:dyDescent="0.25">
      <c r="A19" s="11" t="s">
        <v>197</v>
      </c>
      <c r="B19" s="9" t="s">
        <v>94</v>
      </c>
      <c r="C19" s="10">
        <v>12</v>
      </c>
      <c r="D19" s="9" t="s">
        <v>67</v>
      </c>
      <c r="E19" s="9"/>
      <c r="F19" s="9"/>
      <c r="G19" s="9" t="s">
        <v>5</v>
      </c>
      <c r="H19" s="11" t="s">
        <v>164</v>
      </c>
    </row>
    <row r="20" spans="1:8" s="8" customFormat="1" ht="26.25" customHeight="1" x14ac:dyDescent="0.25">
      <c r="A20" s="11" t="s">
        <v>198</v>
      </c>
      <c r="B20" s="9" t="s">
        <v>95</v>
      </c>
      <c r="C20" s="10">
        <v>12</v>
      </c>
      <c r="D20" s="9" t="s">
        <v>67</v>
      </c>
      <c r="E20" s="9"/>
      <c r="F20" s="9"/>
      <c r="G20" s="9" t="s">
        <v>5</v>
      </c>
      <c r="H20" s="11" t="s">
        <v>164</v>
      </c>
    </row>
    <row r="21" spans="1:8" ht="26.25" customHeight="1" x14ac:dyDescent="0.25">
      <c r="A21" s="11" t="s">
        <v>182</v>
      </c>
      <c r="B21" s="9" t="s">
        <v>82</v>
      </c>
      <c r="C21" s="10">
        <v>12</v>
      </c>
      <c r="D21" s="9" t="s">
        <v>67</v>
      </c>
      <c r="E21" s="10">
        <v>7300</v>
      </c>
      <c r="F21" s="10">
        <v>7200</v>
      </c>
      <c r="G21" s="9" t="s">
        <v>5</v>
      </c>
      <c r="H21" s="11" t="s">
        <v>164</v>
      </c>
    </row>
    <row r="22" spans="1:8" ht="26.25" customHeight="1" x14ac:dyDescent="0.25">
      <c r="A22" s="11" t="s">
        <v>188</v>
      </c>
      <c r="B22" s="20" t="s">
        <v>88</v>
      </c>
      <c r="C22" s="22">
        <v>1</v>
      </c>
      <c r="D22" s="20" t="s">
        <v>67</v>
      </c>
      <c r="E22" s="21">
        <v>12500</v>
      </c>
      <c r="F22" s="21">
        <v>12000</v>
      </c>
      <c r="G22" s="20" t="s">
        <v>5</v>
      </c>
      <c r="H22" s="11" t="s">
        <v>325</v>
      </c>
    </row>
    <row r="23" spans="1:8" ht="26.25" customHeight="1" x14ac:dyDescent="0.25">
      <c r="A23" s="11" t="s">
        <v>193</v>
      </c>
      <c r="B23" s="20" t="s">
        <v>157</v>
      </c>
      <c r="C23" s="22">
        <v>1</v>
      </c>
      <c r="D23" s="20" t="s">
        <v>44</v>
      </c>
      <c r="E23" s="21">
        <v>17750</v>
      </c>
      <c r="F23" s="21">
        <v>17650</v>
      </c>
      <c r="G23" s="20" t="s">
        <v>5</v>
      </c>
      <c r="H23" s="11" t="s">
        <v>325</v>
      </c>
    </row>
    <row r="24" spans="1:8" ht="26.25" customHeight="1" x14ac:dyDescent="0.25">
      <c r="A24" s="11" t="s">
        <v>192</v>
      </c>
      <c r="B24" s="20" t="s">
        <v>156</v>
      </c>
      <c r="C24" s="22">
        <v>1</v>
      </c>
      <c r="D24" s="20" t="s">
        <v>44</v>
      </c>
      <c r="E24" s="21">
        <v>16700</v>
      </c>
      <c r="F24" s="21">
        <v>16500</v>
      </c>
      <c r="G24" s="20" t="s">
        <v>5</v>
      </c>
      <c r="H24" s="11" t="s">
        <v>325</v>
      </c>
    </row>
    <row r="25" spans="1:8" ht="26.25" customHeight="1" x14ac:dyDescent="0.25">
      <c r="A25" s="11" t="s">
        <v>185</v>
      </c>
      <c r="B25" s="20" t="s">
        <v>85</v>
      </c>
      <c r="C25" s="22">
        <v>1</v>
      </c>
      <c r="D25" s="20" t="s">
        <v>67</v>
      </c>
      <c r="E25" s="21">
        <v>25500</v>
      </c>
      <c r="F25" s="20"/>
      <c r="G25" s="20" t="s">
        <v>5</v>
      </c>
      <c r="H25" s="11" t="s">
        <v>325</v>
      </c>
    </row>
    <row r="26" spans="1:8" s="8" customFormat="1" ht="26.25" customHeight="1" x14ac:dyDescent="0.25">
      <c r="A26" s="11" t="s">
        <v>194</v>
      </c>
      <c r="B26" s="20" t="s">
        <v>91</v>
      </c>
      <c r="C26" s="22">
        <v>1</v>
      </c>
      <c r="D26" s="20" t="s">
        <v>44</v>
      </c>
      <c r="E26" s="21">
        <v>31500</v>
      </c>
      <c r="F26" s="21">
        <v>31000</v>
      </c>
      <c r="G26" s="20" t="s">
        <v>5</v>
      </c>
      <c r="H26" s="11" t="s">
        <v>325</v>
      </c>
    </row>
    <row r="27" spans="1:8" s="8" customFormat="1" ht="26.25" customHeight="1" x14ac:dyDescent="0.25">
      <c r="A27" s="11" t="s">
        <v>186</v>
      </c>
      <c r="B27" s="20" t="s">
        <v>86</v>
      </c>
      <c r="C27" s="20">
        <v>1</v>
      </c>
      <c r="D27" s="20" t="s">
        <v>39</v>
      </c>
      <c r="E27" s="21">
        <f>15450*4</f>
        <v>61800</v>
      </c>
      <c r="F27" s="20"/>
      <c r="G27" s="20" t="s">
        <v>5</v>
      </c>
      <c r="H27" s="11" t="s">
        <v>325</v>
      </c>
    </row>
    <row r="28" spans="1:8" s="8" customFormat="1" ht="26.25" customHeight="1" x14ac:dyDescent="0.25">
      <c r="A28" s="11" t="s">
        <v>183</v>
      </c>
      <c r="B28" s="20" t="s">
        <v>83</v>
      </c>
      <c r="C28" s="21">
        <v>12</v>
      </c>
      <c r="D28" s="20" t="s">
        <v>67</v>
      </c>
      <c r="E28" s="21">
        <v>14800</v>
      </c>
      <c r="F28" s="21">
        <v>14650</v>
      </c>
      <c r="G28" s="20" t="s">
        <v>5</v>
      </c>
      <c r="H28" s="11" t="s">
        <v>325</v>
      </c>
    </row>
    <row r="29" spans="1:8" s="8" customFormat="1" ht="26.25" customHeight="1" x14ac:dyDescent="0.25">
      <c r="A29" s="11" t="s">
        <v>199</v>
      </c>
      <c r="B29" s="20" t="s">
        <v>324</v>
      </c>
      <c r="C29" s="20">
        <v>1</v>
      </c>
      <c r="D29" s="20" t="s">
        <v>67</v>
      </c>
      <c r="E29" s="21">
        <v>40500</v>
      </c>
      <c r="F29" s="19"/>
      <c r="G29" s="20" t="s">
        <v>5</v>
      </c>
      <c r="H29" s="11" t="s">
        <v>325</v>
      </c>
    </row>
    <row r="30" spans="1:8" s="8" customFormat="1" ht="26.25" customHeight="1" x14ac:dyDescent="0.25">
      <c r="A30" s="11" t="s">
        <v>191</v>
      </c>
      <c r="B30" s="20" t="s">
        <v>326</v>
      </c>
      <c r="C30" s="20">
        <v>1</v>
      </c>
      <c r="D30" s="20" t="s">
        <v>39</v>
      </c>
      <c r="E30" s="21">
        <v>30000</v>
      </c>
      <c r="F30" s="20">
        <v>29500</v>
      </c>
      <c r="G30" s="20" t="s">
        <v>5</v>
      </c>
      <c r="H30" s="11" t="s">
        <v>325</v>
      </c>
    </row>
    <row r="31" spans="1:8" ht="26.25" customHeight="1" x14ac:dyDescent="0.25">
      <c r="A31" s="11" t="s">
        <v>209</v>
      </c>
      <c r="B31" s="20" t="s">
        <v>21</v>
      </c>
      <c r="C31" s="21">
        <v>50</v>
      </c>
      <c r="D31" s="20" t="s">
        <v>12</v>
      </c>
      <c r="E31" s="21">
        <v>36000</v>
      </c>
      <c r="F31" s="20"/>
      <c r="G31" s="20" t="s">
        <v>3</v>
      </c>
      <c r="H31" s="11" t="s">
        <v>325</v>
      </c>
    </row>
    <row r="32" spans="1:8" ht="26.25" customHeight="1" x14ac:dyDescent="0.25">
      <c r="A32" s="11" t="s">
        <v>210</v>
      </c>
      <c r="B32" s="9" t="s">
        <v>22</v>
      </c>
      <c r="C32" s="10">
        <v>50</v>
      </c>
      <c r="D32" s="9" t="s">
        <v>12</v>
      </c>
      <c r="E32" s="9"/>
      <c r="F32" s="9"/>
      <c r="G32" s="9" t="s">
        <v>3</v>
      </c>
      <c r="H32" s="11" t="s">
        <v>164</v>
      </c>
    </row>
    <row r="33" spans="1:8" ht="26.25" customHeight="1" x14ac:dyDescent="0.25">
      <c r="A33" s="11" t="s">
        <v>212</v>
      </c>
      <c r="B33" s="20" t="s">
        <v>24</v>
      </c>
      <c r="C33" s="21">
        <v>50</v>
      </c>
      <c r="D33" s="20" t="s">
        <v>12</v>
      </c>
      <c r="E33" s="21">
        <v>103000</v>
      </c>
      <c r="F33" s="21">
        <v>101500</v>
      </c>
      <c r="G33" s="20" t="s">
        <v>3</v>
      </c>
      <c r="H33" s="11" t="s">
        <v>325</v>
      </c>
    </row>
    <row r="34" spans="1:8" ht="26.25" customHeight="1" x14ac:dyDescent="0.25">
      <c r="A34" s="11" t="s">
        <v>211</v>
      </c>
      <c r="B34" s="20" t="s">
        <v>23</v>
      </c>
      <c r="C34" s="21">
        <v>50</v>
      </c>
      <c r="D34" s="20" t="s">
        <v>12</v>
      </c>
      <c r="E34" s="21">
        <v>42000</v>
      </c>
      <c r="F34" s="21">
        <v>41500</v>
      </c>
      <c r="G34" s="20" t="s">
        <v>3</v>
      </c>
      <c r="H34" s="11" t="s">
        <v>325</v>
      </c>
    </row>
    <row r="35" spans="1:8" ht="26.25" customHeight="1" x14ac:dyDescent="0.25">
      <c r="A35" s="11" t="s">
        <v>213</v>
      </c>
      <c r="B35" s="20" t="s">
        <v>25</v>
      </c>
      <c r="C35" s="21">
        <v>50</v>
      </c>
      <c r="D35" s="20" t="s">
        <v>12</v>
      </c>
      <c r="E35" s="21">
        <v>125000</v>
      </c>
      <c r="F35" s="20"/>
      <c r="G35" s="20" t="s">
        <v>3</v>
      </c>
      <c r="H35" s="11" t="s">
        <v>325</v>
      </c>
    </row>
    <row r="36" spans="1:8" ht="26.25" customHeight="1" x14ac:dyDescent="0.25">
      <c r="A36" s="11" t="s">
        <v>200</v>
      </c>
      <c r="B36" s="9" t="s">
        <v>11</v>
      </c>
      <c r="C36" s="10">
        <v>50</v>
      </c>
      <c r="D36" s="9" t="s">
        <v>12</v>
      </c>
      <c r="E36" s="10">
        <v>18000</v>
      </c>
      <c r="F36" s="9"/>
      <c r="G36" s="9" t="s">
        <v>3</v>
      </c>
      <c r="H36" s="11" t="s">
        <v>164</v>
      </c>
    </row>
    <row r="37" spans="1:8" ht="26.25" customHeight="1" x14ac:dyDescent="0.25">
      <c r="A37" s="11" t="s">
        <v>214</v>
      </c>
      <c r="B37" s="9" t="s">
        <v>26</v>
      </c>
      <c r="C37" s="10">
        <v>50</v>
      </c>
      <c r="D37" s="9" t="s">
        <v>12</v>
      </c>
      <c r="E37" s="9"/>
      <c r="F37" s="9"/>
      <c r="G37" s="9" t="s">
        <v>3</v>
      </c>
      <c r="H37" s="11" t="s">
        <v>164</v>
      </c>
    </row>
    <row r="38" spans="1:8" ht="26.25" customHeight="1" x14ac:dyDescent="0.25">
      <c r="A38" s="11" t="s">
        <v>215</v>
      </c>
      <c r="B38" s="20" t="s">
        <v>27</v>
      </c>
      <c r="C38" s="21">
        <v>50</v>
      </c>
      <c r="D38" s="20" t="s">
        <v>12</v>
      </c>
      <c r="E38" s="21">
        <v>30000</v>
      </c>
      <c r="F38" s="20"/>
      <c r="G38" s="20" t="s">
        <v>3</v>
      </c>
      <c r="H38" s="11" t="s">
        <v>325</v>
      </c>
    </row>
    <row r="39" spans="1:8" ht="26.25" customHeight="1" x14ac:dyDescent="0.25">
      <c r="A39" s="11" t="s">
        <v>201</v>
      </c>
      <c r="B39" s="20" t="s">
        <v>13</v>
      </c>
      <c r="C39" s="21">
        <v>50</v>
      </c>
      <c r="D39" s="20" t="s">
        <v>12</v>
      </c>
      <c r="E39" s="21">
        <v>35000</v>
      </c>
      <c r="F39" s="20"/>
      <c r="G39" s="20" t="s">
        <v>3</v>
      </c>
      <c r="H39" s="11" t="s">
        <v>325</v>
      </c>
    </row>
    <row r="40" spans="1:8" s="8" customFormat="1" ht="26.25" customHeight="1" x14ac:dyDescent="0.25">
      <c r="A40" s="11" t="s">
        <v>203</v>
      </c>
      <c r="B40" s="20" t="s">
        <v>15</v>
      </c>
      <c r="C40" s="21">
        <v>50</v>
      </c>
      <c r="D40" s="20" t="s">
        <v>12</v>
      </c>
      <c r="E40" s="21">
        <v>17500</v>
      </c>
      <c r="F40" s="21">
        <v>17000</v>
      </c>
      <c r="G40" s="20" t="s">
        <v>3</v>
      </c>
      <c r="H40" s="11" t="s">
        <v>325</v>
      </c>
    </row>
    <row r="41" spans="1:8" ht="26.25" customHeight="1" x14ac:dyDescent="0.25">
      <c r="A41" s="11" t="s">
        <v>205</v>
      </c>
      <c r="B41" s="20" t="s">
        <v>17</v>
      </c>
      <c r="C41" s="21">
        <v>50</v>
      </c>
      <c r="D41" s="20" t="s">
        <v>12</v>
      </c>
      <c r="E41" s="21">
        <v>22000</v>
      </c>
      <c r="F41" s="20">
        <v>21500</v>
      </c>
      <c r="G41" s="20" t="s">
        <v>3</v>
      </c>
      <c r="H41" s="11" t="s">
        <v>325</v>
      </c>
    </row>
    <row r="42" spans="1:8" ht="26.25" customHeight="1" x14ac:dyDescent="0.25">
      <c r="A42" s="11" t="s">
        <v>207</v>
      </c>
      <c r="B42" s="20" t="s">
        <v>19</v>
      </c>
      <c r="C42" s="21">
        <v>50</v>
      </c>
      <c r="D42" s="20" t="s">
        <v>12</v>
      </c>
      <c r="E42" s="21">
        <v>29000</v>
      </c>
      <c r="F42" s="20">
        <v>28500</v>
      </c>
      <c r="G42" s="20" t="s">
        <v>3</v>
      </c>
      <c r="H42" s="11" t="s">
        <v>325</v>
      </c>
    </row>
    <row r="43" spans="1:8" ht="26.25" customHeight="1" x14ac:dyDescent="0.25">
      <c r="A43" s="11" t="s">
        <v>202</v>
      </c>
      <c r="B43" s="20" t="s">
        <v>14</v>
      </c>
      <c r="C43" s="21">
        <v>50</v>
      </c>
      <c r="D43" s="20" t="s">
        <v>12</v>
      </c>
      <c r="E43" s="21">
        <v>35000</v>
      </c>
      <c r="F43" s="20"/>
      <c r="G43" s="20" t="s">
        <v>3</v>
      </c>
      <c r="H43" s="11" t="s">
        <v>325</v>
      </c>
    </row>
    <row r="44" spans="1:8" s="8" customFormat="1" ht="26.25" customHeight="1" x14ac:dyDescent="0.25">
      <c r="A44" s="11" t="s">
        <v>204</v>
      </c>
      <c r="B44" s="20" t="s">
        <v>16</v>
      </c>
      <c r="C44" s="21">
        <v>50</v>
      </c>
      <c r="D44" s="20" t="s">
        <v>12</v>
      </c>
      <c r="E44" s="21">
        <v>17500</v>
      </c>
      <c r="F44" s="21">
        <v>17000</v>
      </c>
      <c r="G44" s="20" t="s">
        <v>3</v>
      </c>
      <c r="H44" s="11" t="s">
        <v>325</v>
      </c>
    </row>
    <row r="45" spans="1:8" ht="26.25" customHeight="1" x14ac:dyDescent="0.25">
      <c r="A45" s="11" t="s">
        <v>206</v>
      </c>
      <c r="B45" s="20" t="s">
        <v>18</v>
      </c>
      <c r="C45" s="21">
        <v>50</v>
      </c>
      <c r="D45" s="20" t="s">
        <v>12</v>
      </c>
      <c r="E45" s="21">
        <v>22000</v>
      </c>
      <c r="F45" s="20">
        <v>21500</v>
      </c>
      <c r="G45" s="20" t="s">
        <v>3</v>
      </c>
      <c r="H45" s="11" t="s">
        <v>325</v>
      </c>
    </row>
    <row r="46" spans="1:8" s="8" customFormat="1" ht="26.25" customHeight="1" x14ac:dyDescent="0.25">
      <c r="A46" s="11" t="s">
        <v>208</v>
      </c>
      <c r="B46" s="20" t="s">
        <v>20</v>
      </c>
      <c r="C46" s="21">
        <v>50</v>
      </c>
      <c r="D46" s="20" t="s">
        <v>12</v>
      </c>
      <c r="E46" s="21">
        <v>29000</v>
      </c>
      <c r="F46" s="20">
        <v>28500</v>
      </c>
      <c r="G46" s="20" t="s">
        <v>3</v>
      </c>
      <c r="H46" s="11" t="s">
        <v>325</v>
      </c>
    </row>
    <row r="47" spans="1:8" ht="26.25" customHeight="1" x14ac:dyDescent="0.25">
      <c r="A47" s="11" t="s">
        <v>219</v>
      </c>
      <c r="B47" s="20" t="s">
        <v>531</v>
      </c>
      <c r="C47" s="21">
        <v>280</v>
      </c>
      <c r="D47" s="20" t="s">
        <v>31</v>
      </c>
      <c r="E47" s="21">
        <v>2800</v>
      </c>
      <c r="F47" s="20"/>
      <c r="G47" s="20" t="s">
        <v>3</v>
      </c>
      <c r="H47" s="11" t="s">
        <v>325</v>
      </c>
    </row>
    <row r="48" spans="1:8" ht="26.25" customHeight="1" x14ac:dyDescent="0.25">
      <c r="A48" s="11" t="s">
        <v>220</v>
      </c>
      <c r="B48" s="20" t="s">
        <v>532</v>
      </c>
      <c r="C48" s="21">
        <v>160</v>
      </c>
      <c r="D48" s="20" t="s">
        <v>31</v>
      </c>
      <c r="E48" s="21">
        <v>4300</v>
      </c>
      <c r="F48" s="20"/>
      <c r="G48" s="20" t="s">
        <v>3</v>
      </c>
      <c r="H48" s="11" t="s">
        <v>325</v>
      </c>
    </row>
    <row r="49" spans="1:8" ht="26.25" customHeight="1" x14ac:dyDescent="0.25">
      <c r="A49" s="11" t="s">
        <v>221</v>
      </c>
      <c r="B49" s="20" t="s">
        <v>383</v>
      </c>
      <c r="C49" s="21">
        <v>140</v>
      </c>
      <c r="D49" s="20" t="s">
        <v>31</v>
      </c>
      <c r="E49" s="21">
        <v>5500</v>
      </c>
      <c r="F49" s="20"/>
      <c r="G49" s="20" t="s">
        <v>3</v>
      </c>
      <c r="H49" s="11" t="s">
        <v>325</v>
      </c>
    </row>
    <row r="50" spans="1:8" ht="26.25" customHeight="1" x14ac:dyDescent="0.25">
      <c r="A50" s="11" t="s">
        <v>216</v>
      </c>
      <c r="B50" s="9" t="s">
        <v>28</v>
      </c>
      <c r="C50" s="10">
        <v>50</v>
      </c>
      <c r="D50" s="9" t="s">
        <v>12</v>
      </c>
      <c r="E50" s="10">
        <v>23000</v>
      </c>
      <c r="F50" s="9"/>
      <c r="G50" s="9" t="s">
        <v>3</v>
      </c>
      <c r="H50" s="11" t="s">
        <v>164</v>
      </c>
    </row>
    <row r="51" spans="1:8" ht="26.25" customHeight="1" x14ac:dyDescent="0.25">
      <c r="A51" s="11" t="s">
        <v>217</v>
      </c>
      <c r="B51" s="20" t="s">
        <v>29</v>
      </c>
      <c r="C51" s="21">
        <v>50</v>
      </c>
      <c r="D51" s="20" t="s">
        <v>12</v>
      </c>
      <c r="E51" s="21">
        <v>8700</v>
      </c>
      <c r="F51" s="21">
        <v>8500</v>
      </c>
      <c r="G51" s="20" t="s">
        <v>3</v>
      </c>
      <c r="H51" s="11" t="s">
        <v>164</v>
      </c>
    </row>
    <row r="52" spans="1:8" ht="26.25" customHeight="1" x14ac:dyDescent="0.25">
      <c r="A52" s="11" t="s">
        <v>218</v>
      </c>
      <c r="B52" s="20" t="s">
        <v>30</v>
      </c>
      <c r="C52" s="21">
        <v>50</v>
      </c>
      <c r="D52" s="20" t="s">
        <v>12</v>
      </c>
      <c r="E52" s="21">
        <v>9700</v>
      </c>
      <c r="F52" s="21">
        <v>9500</v>
      </c>
      <c r="G52" s="20" t="s">
        <v>3</v>
      </c>
      <c r="H52" s="11" t="s">
        <v>325</v>
      </c>
    </row>
    <row r="53" spans="1:8" ht="26.25" customHeight="1" x14ac:dyDescent="0.25">
      <c r="A53" s="11" t="s">
        <v>241</v>
      </c>
      <c r="B53" s="20" t="s">
        <v>61</v>
      </c>
      <c r="C53" s="21">
        <v>12</v>
      </c>
      <c r="D53" s="20" t="s">
        <v>55</v>
      </c>
      <c r="E53" s="20">
        <v>11500</v>
      </c>
      <c r="F53" s="20">
        <v>11300</v>
      </c>
      <c r="G53" s="20" t="s">
        <v>4</v>
      </c>
      <c r="H53" s="11" t="s">
        <v>325</v>
      </c>
    </row>
    <row r="54" spans="1:8" s="8" customFormat="1" ht="26.25" customHeight="1" x14ac:dyDescent="0.25">
      <c r="A54" s="11" t="s">
        <v>245</v>
      </c>
      <c r="B54" s="9" t="s">
        <v>166</v>
      </c>
      <c r="C54" s="10"/>
      <c r="D54" s="9"/>
      <c r="E54" s="10"/>
      <c r="F54" s="9"/>
      <c r="G54" s="9" t="s">
        <v>4</v>
      </c>
      <c r="H54" s="11" t="s">
        <v>164</v>
      </c>
    </row>
    <row r="55" spans="1:8" ht="26.25" customHeight="1" x14ac:dyDescent="0.25">
      <c r="A55" s="11" t="s">
        <v>240</v>
      </c>
      <c r="B55" s="20" t="s">
        <v>60</v>
      </c>
      <c r="C55" s="21">
        <v>12</v>
      </c>
      <c r="D55" s="20" t="s">
        <v>55</v>
      </c>
      <c r="E55" s="20">
        <v>11500</v>
      </c>
      <c r="F55" s="20">
        <v>11300</v>
      </c>
      <c r="G55" s="20" t="s">
        <v>4</v>
      </c>
      <c r="H55" s="11" t="s">
        <v>325</v>
      </c>
    </row>
    <row r="56" spans="1:8" s="8" customFormat="1" ht="26.25" customHeight="1" x14ac:dyDescent="0.25">
      <c r="A56" s="11" t="s">
        <v>243</v>
      </c>
      <c r="B56" s="20" t="s">
        <v>63</v>
      </c>
      <c r="C56" s="21">
        <v>12</v>
      </c>
      <c r="D56" s="20" t="s">
        <v>55</v>
      </c>
      <c r="E56" s="20">
        <v>11500</v>
      </c>
      <c r="F56" s="20">
        <v>11300</v>
      </c>
      <c r="G56" s="20" t="s">
        <v>4</v>
      </c>
      <c r="H56" s="11" t="s">
        <v>325</v>
      </c>
    </row>
    <row r="57" spans="1:8" s="8" customFormat="1" ht="26.25" customHeight="1" x14ac:dyDescent="0.25">
      <c r="A57" s="11" t="s">
        <v>239</v>
      </c>
      <c r="B57" s="20" t="s">
        <v>160</v>
      </c>
      <c r="C57" s="20">
        <v>12</v>
      </c>
      <c r="D57" s="20" t="s">
        <v>55</v>
      </c>
      <c r="E57" s="20">
        <v>11500</v>
      </c>
      <c r="F57" s="20">
        <v>11300</v>
      </c>
      <c r="G57" s="20" t="s">
        <v>4</v>
      </c>
      <c r="H57" s="11" t="s">
        <v>325</v>
      </c>
    </row>
    <row r="58" spans="1:8" s="8" customFormat="1" ht="26.25" customHeight="1" x14ac:dyDescent="0.25">
      <c r="A58" s="11" t="s">
        <v>244</v>
      </c>
      <c r="B58" s="20" t="s">
        <v>64</v>
      </c>
      <c r="C58" s="21">
        <v>12</v>
      </c>
      <c r="D58" s="20" t="s">
        <v>55</v>
      </c>
      <c r="E58" s="20">
        <v>11500</v>
      </c>
      <c r="F58" s="20">
        <v>11300</v>
      </c>
      <c r="G58" s="20" t="s">
        <v>4</v>
      </c>
      <c r="H58" s="11" t="s">
        <v>325</v>
      </c>
    </row>
    <row r="59" spans="1:8" ht="26.25" customHeight="1" x14ac:dyDescent="0.25">
      <c r="A59" s="11" t="s">
        <v>242</v>
      </c>
      <c r="B59" s="20" t="s">
        <v>62</v>
      </c>
      <c r="C59" s="21">
        <v>12</v>
      </c>
      <c r="D59" s="20" t="s">
        <v>55</v>
      </c>
      <c r="E59" s="20">
        <v>11500</v>
      </c>
      <c r="F59" s="20">
        <v>11300</v>
      </c>
      <c r="G59" s="20" t="s">
        <v>4</v>
      </c>
      <c r="H59" s="11" t="s">
        <v>325</v>
      </c>
    </row>
    <row r="60" spans="1:8" ht="26.25" customHeight="1" x14ac:dyDescent="0.25">
      <c r="A60" s="11" t="s">
        <v>228</v>
      </c>
      <c r="B60" s="9" t="s">
        <v>49</v>
      </c>
      <c r="C60" s="10">
        <v>12</v>
      </c>
      <c r="D60" s="9" t="s">
        <v>36</v>
      </c>
      <c r="E60" s="10">
        <v>7200</v>
      </c>
      <c r="F60" s="9"/>
      <c r="G60" s="9" t="s">
        <v>4</v>
      </c>
      <c r="H60" s="11" t="s">
        <v>164</v>
      </c>
    </row>
    <row r="61" spans="1:8" ht="26.25" customHeight="1" x14ac:dyDescent="0.25">
      <c r="A61" s="11" t="s">
        <v>226</v>
      </c>
      <c r="B61" s="9" t="s">
        <v>47</v>
      </c>
      <c r="C61" s="10">
        <v>12</v>
      </c>
      <c r="D61" s="9" t="s">
        <v>36</v>
      </c>
      <c r="E61" s="10">
        <v>7200</v>
      </c>
      <c r="F61" s="9"/>
      <c r="G61" s="9" t="s">
        <v>4</v>
      </c>
      <c r="H61" s="11" t="s">
        <v>164</v>
      </c>
    </row>
    <row r="62" spans="1:8" s="8" customFormat="1" ht="26.25" customHeight="1" x14ac:dyDescent="0.25">
      <c r="A62" s="11" t="s">
        <v>227</v>
      </c>
      <c r="B62" s="9" t="s">
        <v>48</v>
      </c>
      <c r="C62" s="10">
        <v>12</v>
      </c>
      <c r="D62" s="9" t="s">
        <v>36</v>
      </c>
      <c r="E62" s="10">
        <v>7200</v>
      </c>
      <c r="F62" s="9"/>
      <c r="G62" s="9" t="s">
        <v>4</v>
      </c>
      <c r="H62" s="11" t="s">
        <v>164</v>
      </c>
    </row>
    <row r="63" spans="1:8" ht="26.25" customHeight="1" x14ac:dyDescent="0.25">
      <c r="A63" s="11" t="s">
        <v>259</v>
      </c>
      <c r="B63" s="20" t="s">
        <v>79</v>
      </c>
      <c r="C63" s="22">
        <v>1</v>
      </c>
      <c r="D63" s="20" t="s">
        <v>323</v>
      </c>
      <c r="E63" s="21">
        <v>9300</v>
      </c>
      <c r="F63" s="21">
        <v>9000</v>
      </c>
      <c r="G63" s="20" t="s">
        <v>4</v>
      </c>
      <c r="H63" s="11" t="s">
        <v>325</v>
      </c>
    </row>
    <row r="64" spans="1:8" ht="26.25" customHeight="1" x14ac:dyDescent="0.25">
      <c r="A64" s="11" t="s">
        <v>253</v>
      </c>
      <c r="B64" s="20" t="s">
        <v>73</v>
      </c>
      <c r="C64" s="21">
        <v>36</v>
      </c>
      <c r="D64" s="20" t="s">
        <v>36</v>
      </c>
      <c r="E64" s="21">
        <v>800</v>
      </c>
      <c r="F64" s="21">
        <v>770</v>
      </c>
      <c r="G64" s="20" t="s">
        <v>4</v>
      </c>
      <c r="H64" s="11" t="s">
        <v>325</v>
      </c>
    </row>
    <row r="65" spans="1:8" ht="26.25" customHeight="1" x14ac:dyDescent="0.25">
      <c r="A65" s="11" t="s">
        <v>252</v>
      </c>
      <c r="B65" s="20" t="s">
        <v>72</v>
      </c>
      <c r="C65" s="21">
        <v>36</v>
      </c>
      <c r="D65" s="20" t="s">
        <v>36</v>
      </c>
      <c r="E65" s="21">
        <v>800</v>
      </c>
      <c r="F65" s="21">
        <v>770</v>
      </c>
      <c r="G65" s="20" t="s">
        <v>4</v>
      </c>
      <c r="H65" s="11" t="s">
        <v>325</v>
      </c>
    </row>
    <row r="66" spans="1:8" s="8" customFormat="1" ht="26.25" customHeight="1" x14ac:dyDescent="0.25">
      <c r="A66" s="11" t="s">
        <v>262</v>
      </c>
      <c r="B66" s="20" t="s">
        <v>81</v>
      </c>
      <c r="C66" s="20">
        <v>7</v>
      </c>
      <c r="D66" s="20" t="s">
        <v>322</v>
      </c>
      <c r="E66" s="21">
        <v>15300</v>
      </c>
      <c r="F66" s="20"/>
      <c r="G66" s="20" t="s">
        <v>4</v>
      </c>
      <c r="H66" s="11" t="s">
        <v>325</v>
      </c>
    </row>
    <row r="67" spans="1:8" ht="26.25" customHeight="1" x14ac:dyDescent="0.25">
      <c r="A67" s="11" t="s">
        <v>257</v>
      </c>
      <c r="B67" s="20" t="s">
        <v>374</v>
      </c>
      <c r="C67" s="22">
        <v>1</v>
      </c>
      <c r="D67" s="20" t="s">
        <v>55</v>
      </c>
      <c r="E67" s="21">
        <v>16000</v>
      </c>
      <c r="F67" s="21">
        <v>15500</v>
      </c>
      <c r="G67" s="20" t="s">
        <v>4</v>
      </c>
      <c r="H67" s="11" t="s">
        <v>325</v>
      </c>
    </row>
    <row r="68" spans="1:8" ht="26.25" customHeight="1" x14ac:dyDescent="0.25">
      <c r="A68" s="11" t="s">
        <v>231</v>
      </c>
      <c r="B68" s="20" t="s">
        <v>52</v>
      </c>
      <c r="C68" s="21">
        <v>12</v>
      </c>
      <c r="D68" s="20" t="s">
        <v>39</v>
      </c>
      <c r="E68" s="21">
        <v>15700</v>
      </c>
      <c r="F68" s="21">
        <v>15400</v>
      </c>
      <c r="G68" s="20" t="s">
        <v>4</v>
      </c>
      <c r="H68" s="11" t="s">
        <v>325</v>
      </c>
    </row>
    <row r="69" spans="1:8" ht="26.25" customHeight="1" x14ac:dyDescent="0.25">
      <c r="A69" s="11" t="s">
        <v>255</v>
      </c>
      <c r="B69" s="20" t="s">
        <v>75</v>
      </c>
      <c r="C69" s="21">
        <v>10</v>
      </c>
      <c r="D69" s="20" t="s">
        <v>36</v>
      </c>
      <c r="E69" s="21">
        <v>7700</v>
      </c>
      <c r="F69" s="21">
        <v>7640</v>
      </c>
      <c r="G69" s="20" t="s">
        <v>4</v>
      </c>
      <c r="H69" s="11" t="s">
        <v>325</v>
      </c>
    </row>
    <row r="70" spans="1:8" ht="26.25" customHeight="1" x14ac:dyDescent="0.25">
      <c r="A70" s="11" t="s">
        <v>260</v>
      </c>
      <c r="B70" s="20" t="s">
        <v>80</v>
      </c>
      <c r="C70" s="22">
        <v>1</v>
      </c>
      <c r="D70" s="20" t="s">
        <v>55</v>
      </c>
      <c r="E70" s="21">
        <v>9300</v>
      </c>
      <c r="F70" s="21">
        <v>9000</v>
      </c>
      <c r="G70" s="20" t="s">
        <v>4</v>
      </c>
      <c r="H70" s="11" t="s">
        <v>325</v>
      </c>
    </row>
    <row r="71" spans="1:8" ht="26.25" customHeight="1" x14ac:dyDescent="0.25">
      <c r="A71" s="11" t="s">
        <v>256</v>
      </c>
      <c r="B71" s="20" t="s">
        <v>76</v>
      </c>
      <c r="C71" s="22">
        <v>1</v>
      </c>
      <c r="D71" s="20" t="s">
        <v>55</v>
      </c>
      <c r="E71" s="21">
        <v>7100</v>
      </c>
      <c r="F71" s="21">
        <v>6950</v>
      </c>
      <c r="G71" s="20" t="s">
        <v>4</v>
      </c>
      <c r="H71" s="11" t="s">
        <v>325</v>
      </c>
    </row>
    <row r="72" spans="1:8" ht="26.25" customHeight="1" x14ac:dyDescent="0.25">
      <c r="A72" s="11" t="s">
        <v>258</v>
      </c>
      <c r="B72" s="20" t="s">
        <v>78</v>
      </c>
      <c r="C72" s="20">
        <v>4</v>
      </c>
      <c r="D72" s="20" t="s">
        <v>322</v>
      </c>
      <c r="E72" s="21">
        <v>37800</v>
      </c>
      <c r="F72" s="20"/>
      <c r="G72" s="20" t="s">
        <v>4</v>
      </c>
      <c r="H72" s="11" t="s">
        <v>325</v>
      </c>
    </row>
    <row r="73" spans="1:8" ht="26.25" customHeight="1" x14ac:dyDescent="0.25">
      <c r="A73" s="11" t="s">
        <v>232</v>
      </c>
      <c r="B73" s="9" t="s">
        <v>53</v>
      </c>
      <c r="C73" s="9"/>
      <c r="D73" s="9"/>
      <c r="E73" s="10">
        <v>25000</v>
      </c>
      <c r="F73" s="9"/>
      <c r="G73" s="9" t="s">
        <v>4</v>
      </c>
      <c r="H73" s="11" t="s">
        <v>164</v>
      </c>
    </row>
    <row r="74" spans="1:8" ht="26.25" customHeight="1" x14ac:dyDescent="0.25">
      <c r="A74" s="11"/>
      <c r="B74" s="24" t="s">
        <v>372</v>
      </c>
      <c r="C74" s="22">
        <v>1</v>
      </c>
      <c r="D74" s="20" t="s">
        <v>55</v>
      </c>
      <c r="E74" s="21">
        <v>7100</v>
      </c>
      <c r="F74" s="21">
        <v>6950</v>
      </c>
      <c r="G74" s="20" t="s">
        <v>4</v>
      </c>
      <c r="H74" s="11" t="s">
        <v>325</v>
      </c>
    </row>
    <row r="75" spans="1:8" s="8" customFormat="1" ht="26.25" customHeight="1" x14ac:dyDescent="0.25">
      <c r="A75" s="11"/>
      <c r="B75" s="24" t="s">
        <v>371</v>
      </c>
      <c r="C75" s="22">
        <v>1</v>
      </c>
      <c r="D75" s="20" t="s">
        <v>55</v>
      </c>
      <c r="E75" s="21">
        <v>7100</v>
      </c>
      <c r="F75" s="21">
        <v>6950</v>
      </c>
      <c r="G75" s="20" t="s">
        <v>4</v>
      </c>
      <c r="H75" s="11" t="s">
        <v>325</v>
      </c>
    </row>
    <row r="76" spans="1:8" ht="26.25" customHeight="1" x14ac:dyDescent="0.25">
      <c r="A76" s="11"/>
      <c r="B76" s="24" t="s">
        <v>373</v>
      </c>
      <c r="C76" s="22">
        <v>1</v>
      </c>
      <c r="D76" s="20" t="s">
        <v>55</v>
      </c>
      <c r="E76" s="21">
        <v>7100</v>
      </c>
      <c r="F76" s="21">
        <v>6950</v>
      </c>
      <c r="G76" s="20" t="s">
        <v>4</v>
      </c>
      <c r="H76" s="11" t="s">
        <v>325</v>
      </c>
    </row>
    <row r="77" spans="1:8" ht="26.25" customHeight="1" x14ac:dyDescent="0.25">
      <c r="A77" s="11" t="s">
        <v>376</v>
      </c>
      <c r="B77" s="20" t="s">
        <v>77</v>
      </c>
      <c r="C77" s="22">
        <v>1</v>
      </c>
      <c r="D77" s="20" t="s">
        <v>55</v>
      </c>
      <c r="E77" s="21">
        <v>9500</v>
      </c>
      <c r="F77" s="21">
        <v>9300</v>
      </c>
      <c r="G77" s="20" t="s">
        <v>4</v>
      </c>
      <c r="H77" s="11" t="s">
        <v>325</v>
      </c>
    </row>
    <row r="78" spans="1:8" ht="26.25" customHeight="1" x14ac:dyDescent="0.25">
      <c r="A78" s="11" t="s">
        <v>225</v>
      </c>
      <c r="B78" s="20" t="s">
        <v>46</v>
      </c>
      <c r="C78" s="21">
        <v>50</v>
      </c>
      <c r="D78" s="20" t="s">
        <v>36</v>
      </c>
      <c r="E78" s="21">
        <v>3200</v>
      </c>
      <c r="F78" s="21">
        <v>3100</v>
      </c>
      <c r="G78" s="20" t="s">
        <v>4</v>
      </c>
      <c r="H78" s="11" t="s">
        <v>325</v>
      </c>
    </row>
    <row r="79" spans="1:8" ht="26.25" customHeight="1" x14ac:dyDescent="0.25">
      <c r="A79" s="11" t="s">
        <v>224</v>
      </c>
      <c r="B79" s="9" t="s">
        <v>45</v>
      </c>
      <c r="C79" s="10">
        <v>30</v>
      </c>
      <c r="D79" s="9" t="s">
        <v>36</v>
      </c>
      <c r="E79" s="10">
        <v>5600</v>
      </c>
      <c r="F79" s="10">
        <v>5530</v>
      </c>
      <c r="G79" s="9" t="s">
        <v>4</v>
      </c>
      <c r="H79" s="11" t="s">
        <v>164</v>
      </c>
    </row>
    <row r="80" spans="1:8" ht="26.25" customHeight="1" x14ac:dyDescent="0.25">
      <c r="A80" s="11" t="s">
        <v>230</v>
      </c>
      <c r="B80" s="20" t="s">
        <v>51</v>
      </c>
      <c r="C80" s="21">
        <v>60</v>
      </c>
      <c r="D80" s="20" t="s">
        <v>39</v>
      </c>
      <c r="E80" s="21">
        <v>3000</v>
      </c>
      <c r="F80" s="21">
        <v>2900</v>
      </c>
      <c r="G80" s="20" t="s">
        <v>4</v>
      </c>
      <c r="H80" s="11" t="s">
        <v>325</v>
      </c>
    </row>
    <row r="81" spans="1:8" ht="26.25" customHeight="1" x14ac:dyDescent="0.25">
      <c r="A81" s="11" t="s">
        <v>229</v>
      </c>
      <c r="B81" s="20" t="s">
        <v>50</v>
      </c>
      <c r="C81" s="21">
        <v>60</v>
      </c>
      <c r="D81" s="20" t="s">
        <v>39</v>
      </c>
      <c r="E81" s="21">
        <v>3000</v>
      </c>
      <c r="F81" s="21">
        <v>2900</v>
      </c>
      <c r="G81" s="20" t="s">
        <v>4</v>
      </c>
      <c r="H81" s="11" t="s">
        <v>325</v>
      </c>
    </row>
    <row r="82" spans="1:8" ht="26.25" customHeight="1" x14ac:dyDescent="0.25">
      <c r="A82" s="11" t="s">
        <v>250</v>
      </c>
      <c r="B82" s="20" t="s">
        <v>70</v>
      </c>
      <c r="C82" s="21">
        <v>6</v>
      </c>
      <c r="D82" s="20" t="s">
        <v>36</v>
      </c>
      <c r="E82" s="21">
        <v>15300</v>
      </c>
      <c r="F82" s="21">
        <v>15100</v>
      </c>
      <c r="G82" s="20" t="s">
        <v>4</v>
      </c>
      <c r="H82" s="11" t="s">
        <v>325</v>
      </c>
    </row>
    <row r="83" spans="1:8" ht="26.25" customHeight="1" x14ac:dyDescent="0.25">
      <c r="A83" s="11" t="s">
        <v>254</v>
      </c>
      <c r="B83" s="20" t="s">
        <v>74</v>
      </c>
      <c r="C83" s="21">
        <v>8</v>
      </c>
      <c r="D83" s="20" t="s">
        <v>36</v>
      </c>
      <c r="E83" s="21">
        <v>6300</v>
      </c>
      <c r="F83" s="21">
        <v>6250</v>
      </c>
      <c r="G83" s="20" t="s">
        <v>4</v>
      </c>
      <c r="H83" s="11" t="s">
        <v>325</v>
      </c>
    </row>
    <row r="84" spans="1:8" ht="26.25" customHeight="1" x14ac:dyDescent="0.25">
      <c r="A84" s="11"/>
      <c r="B84" s="24" t="s">
        <v>351</v>
      </c>
      <c r="C84" s="21">
        <v>12</v>
      </c>
      <c r="D84" s="20" t="s">
        <v>44</v>
      </c>
      <c r="E84" s="21">
        <v>63000</v>
      </c>
      <c r="F84" s="21">
        <v>62300</v>
      </c>
      <c r="G84" s="20" t="s">
        <v>4</v>
      </c>
      <c r="H84" s="11" t="s">
        <v>325</v>
      </c>
    </row>
    <row r="85" spans="1:8" ht="26.25" customHeight="1" x14ac:dyDescent="0.25">
      <c r="A85" s="11"/>
      <c r="B85" s="24" t="s">
        <v>350</v>
      </c>
      <c r="C85" s="21">
        <v>12</v>
      </c>
      <c r="D85" s="20" t="s">
        <v>44</v>
      </c>
      <c r="E85" s="21">
        <v>63000</v>
      </c>
      <c r="F85" s="21">
        <v>62300</v>
      </c>
      <c r="G85" s="20" t="s">
        <v>4</v>
      </c>
      <c r="H85" s="11" t="s">
        <v>325</v>
      </c>
    </row>
    <row r="86" spans="1:8" ht="26.25" customHeight="1" x14ac:dyDescent="0.25">
      <c r="A86" s="11"/>
      <c r="B86" s="24" t="s">
        <v>352</v>
      </c>
      <c r="C86" s="21">
        <v>12</v>
      </c>
      <c r="D86" s="20" t="s">
        <v>44</v>
      </c>
      <c r="E86" s="21">
        <v>63000</v>
      </c>
      <c r="F86" s="21">
        <v>62300</v>
      </c>
      <c r="G86" s="20" t="s">
        <v>4</v>
      </c>
      <c r="H86" s="11" t="s">
        <v>325</v>
      </c>
    </row>
    <row r="87" spans="1:8" ht="26.25" customHeight="1" x14ac:dyDescent="0.25">
      <c r="A87" s="11" t="s">
        <v>246</v>
      </c>
      <c r="B87" s="20" t="s">
        <v>65</v>
      </c>
      <c r="C87" s="21">
        <v>12</v>
      </c>
      <c r="D87" s="20" t="s">
        <v>55</v>
      </c>
      <c r="E87" s="21">
        <v>9850</v>
      </c>
      <c r="F87" s="20"/>
      <c r="G87" s="20" t="s">
        <v>4</v>
      </c>
      <c r="H87" s="11" t="s">
        <v>325</v>
      </c>
    </row>
    <row r="88" spans="1:8" ht="26.25" customHeight="1" x14ac:dyDescent="0.25">
      <c r="A88" s="11" t="s">
        <v>251</v>
      </c>
      <c r="B88" s="20" t="s">
        <v>71</v>
      </c>
      <c r="C88" s="21">
        <v>6</v>
      </c>
      <c r="D88" s="20" t="s">
        <v>36</v>
      </c>
      <c r="E88" s="21">
        <v>10950</v>
      </c>
      <c r="F88" s="21">
        <v>10900</v>
      </c>
      <c r="G88" s="20" t="s">
        <v>4</v>
      </c>
      <c r="H88" s="11" t="s">
        <v>325</v>
      </c>
    </row>
    <row r="89" spans="1:8" ht="26.25" customHeight="1" x14ac:dyDescent="0.25">
      <c r="A89" s="11" t="s">
        <v>375</v>
      </c>
      <c r="B89" s="20" t="s">
        <v>161</v>
      </c>
      <c r="C89" s="21">
        <v>60</v>
      </c>
      <c r="D89" s="20" t="s">
        <v>36</v>
      </c>
      <c r="E89" s="21">
        <v>1850</v>
      </c>
      <c r="F89" s="21">
        <v>1750</v>
      </c>
      <c r="G89" s="20" t="s">
        <v>4</v>
      </c>
      <c r="H89" s="11" t="s">
        <v>325</v>
      </c>
    </row>
    <row r="90" spans="1:8" ht="26.25" customHeight="1" x14ac:dyDescent="0.25">
      <c r="A90" s="11" t="s">
        <v>247</v>
      </c>
      <c r="B90" s="20" t="s">
        <v>66</v>
      </c>
      <c r="C90" s="21">
        <v>6</v>
      </c>
      <c r="D90" s="20" t="s">
        <v>67</v>
      </c>
      <c r="E90" s="21">
        <v>48500</v>
      </c>
      <c r="F90" s="20"/>
      <c r="G90" s="20" t="s">
        <v>4</v>
      </c>
      <c r="H90" s="11" t="s">
        <v>325</v>
      </c>
    </row>
    <row r="91" spans="1:8" ht="26.25" customHeight="1" x14ac:dyDescent="0.25">
      <c r="A91" s="11" t="s">
        <v>248</v>
      </c>
      <c r="B91" s="20" t="s">
        <v>68</v>
      </c>
      <c r="C91" s="21">
        <v>6</v>
      </c>
      <c r="D91" s="20" t="s">
        <v>67</v>
      </c>
      <c r="E91" s="21">
        <v>48500</v>
      </c>
      <c r="F91" s="20"/>
      <c r="G91" s="20" t="s">
        <v>4</v>
      </c>
      <c r="H91" s="11" t="s">
        <v>325</v>
      </c>
    </row>
    <row r="92" spans="1:8" ht="26.25" customHeight="1" x14ac:dyDescent="0.25">
      <c r="A92" s="11" t="s">
        <v>235</v>
      </c>
      <c r="B92" s="20" t="s">
        <v>57</v>
      </c>
      <c r="C92" s="21">
        <v>20</v>
      </c>
      <c r="D92" s="20" t="s">
        <v>55</v>
      </c>
      <c r="E92" s="21">
        <v>5500</v>
      </c>
      <c r="F92" s="20"/>
      <c r="G92" s="20" t="s">
        <v>4</v>
      </c>
      <c r="H92" s="11" t="s">
        <v>325</v>
      </c>
    </row>
    <row r="93" spans="1:8" ht="26.25" customHeight="1" x14ac:dyDescent="0.25">
      <c r="A93" s="11" t="s">
        <v>236</v>
      </c>
      <c r="B93" s="9" t="s">
        <v>159</v>
      </c>
      <c r="C93" s="9"/>
      <c r="D93" s="9"/>
      <c r="E93" s="9"/>
      <c r="F93" s="9"/>
      <c r="G93" s="9" t="s">
        <v>4</v>
      </c>
      <c r="H93" s="11" t="s">
        <v>164</v>
      </c>
    </row>
    <row r="94" spans="1:8" ht="26.25" customHeight="1" x14ac:dyDescent="0.25">
      <c r="A94" s="11" t="s">
        <v>234</v>
      </c>
      <c r="B94" s="20" t="s">
        <v>56</v>
      </c>
      <c r="C94" s="21">
        <v>20</v>
      </c>
      <c r="D94" s="20" t="s">
        <v>55</v>
      </c>
      <c r="E94" s="21">
        <v>5500</v>
      </c>
      <c r="F94" s="20"/>
      <c r="G94" s="20" t="s">
        <v>4</v>
      </c>
      <c r="H94" s="11" t="s">
        <v>325</v>
      </c>
    </row>
    <row r="95" spans="1:8" ht="26.25" customHeight="1" x14ac:dyDescent="0.25">
      <c r="A95" s="11" t="s">
        <v>237</v>
      </c>
      <c r="B95" s="20" t="s">
        <v>58</v>
      </c>
      <c r="C95" s="21">
        <v>20</v>
      </c>
      <c r="D95" s="20" t="s">
        <v>55</v>
      </c>
      <c r="E95" s="21">
        <v>5500</v>
      </c>
      <c r="F95" s="20"/>
      <c r="G95" s="20" t="s">
        <v>4</v>
      </c>
      <c r="H95" s="11" t="s">
        <v>325</v>
      </c>
    </row>
    <row r="96" spans="1:8" ht="26.25" customHeight="1" x14ac:dyDescent="0.25">
      <c r="A96" s="11" t="s">
        <v>233</v>
      </c>
      <c r="B96" s="20" t="s">
        <v>54</v>
      </c>
      <c r="C96" s="21">
        <v>20</v>
      </c>
      <c r="D96" s="20" t="s">
        <v>55</v>
      </c>
      <c r="E96" s="21">
        <v>5500</v>
      </c>
      <c r="F96" s="20"/>
      <c r="G96" s="20" t="s">
        <v>4</v>
      </c>
      <c r="H96" s="11" t="s">
        <v>325</v>
      </c>
    </row>
    <row r="97" spans="1:8" ht="26.25" customHeight="1" x14ac:dyDescent="0.25">
      <c r="A97" s="11" t="s">
        <v>238</v>
      </c>
      <c r="B97" s="20" t="s">
        <v>59</v>
      </c>
      <c r="C97" s="21">
        <v>20</v>
      </c>
      <c r="D97" s="20" t="s">
        <v>55</v>
      </c>
      <c r="E97" s="21">
        <v>5500</v>
      </c>
      <c r="F97" s="20"/>
      <c r="G97" s="20" t="s">
        <v>4</v>
      </c>
      <c r="H97" s="11" t="s">
        <v>325</v>
      </c>
    </row>
    <row r="98" spans="1:8" ht="26.25" customHeight="1" x14ac:dyDescent="0.25">
      <c r="A98" s="11" t="s">
        <v>222</v>
      </c>
      <c r="B98" s="20" t="s">
        <v>32</v>
      </c>
      <c r="C98" s="21">
        <v>100</v>
      </c>
      <c r="D98" s="20" t="s">
        <v>33</v>
      </c>
      <c r="E98" s="21">
        <v>1300</v>
      </c>
      <c r="F98" s="20"/>
      <c r="G98" s="20" t="s">
        <v>4</v>
      </c>
      <c r="H98" s="11" t="s">
        <v>325</v>
      </c>
    </row>
    <row r="99" spans="1:8" ht="26.25" customHeight="1" x14ac:dyDescent="0.25">
      <c r="A99" s="11" t="s">
        <v>223</v>
      </c>
      <c r="B99" s="20" t="s">
        <v>34</v>
      </c>
      <c r="C99" s="21">
        <v>100</v>
      </c>
      <c r="D99" s="20" t="s">
        <v>33</v>
      </c>
      <c r="E99" s="21">
        <v>2800</v>
      </c>
      <c r="F99" s="20"/>
      <c r="G99" s="20" t="s">
        <v>4</v>
      </c>
      <c r="H99" s="11" t="s">
        <v>325</v>
      </c>
    </row>
    <row r="100" spans="1:8" ht="26.25" customHeight="1" x14ac:dyDescent="0.25">
      <c r="A100" s="11" t="s">
        <v>249</v>
      </c>
      <c r="B100" s="20" t="s">
        <v>69</v>
      </c>
      <c r="C100" s="21">
        <v>20</v>
      </c>
      <c r="D100" s="20" t="s">
        <v>36</v>
      </c>
      <c r="E100" s="21">
        <v>9200</v>
      </c>
      <c r="F100" s="21">
        <v>9100</v>
      </c>
      <c r="G100" s="20" t="s">
        <v>4</v>
      </c>
      <c r="H100" s="11" t="s">
        <v>325</v>
      </c>
    </row>
    <row r="101" spans="1:8" ht="26.25" customHeight="1" x14ac:dyDescent="0.25">
      <c r="A101" s="11" t="s">
        <v>261</v>
      </c>
      <c r="B101" s="20" t="s">
        <v>320</v>
      </c>
      <c r="C101" s="20">
        <v>1</v>
      </c>
      <c r="D101" s="20" t="s">
        <v>44</v>
      </c>
      <c r="E101" s="21">
        <v>3450</v>
      </c>
      <c r="F101" s="20"/>
      <c r="G101" s="20" t="s">
        <v>4</v>
      </c>
      <c r="H101" s="11" t="s">
        <v>325</v>
      </c>
    </row>
    <row r="102" spans="1:8" ht="26.25" customHeight="1" x14ac:dyDescent="0.25">
      <c r="A102" s="11" t="s">
        <v>293</v>
      </c>
      <c r="B102" s="20" t="s">
        <v>154</v>
      </c>
      <c r="C102" s="20">
        <v>1</v>
      </c>
      <c r="D102" s="20" t="s">
        <v>36</v>
      </c>
      <c r="E102" s="21">
        <v>1800</v>
      </c>
      <c r="F102" s="21">
        <v>1750</v>
      </c>
      <c r="G102" s="20" t="s">
        <v>8</v>
      </c>
      <c r="H102" s="11" t="s">
        <v>325</v>
      </c>
    </row>
    <row r="103" spans="1:8" s="8" customFormat="1" ht="26.25" customHeight="1" x14ac:dyDescent="0.25">
      <c r="A103" s="11" t="s">
        <v>263</v>
      </c>
      <c r="B103" s="20" t="s">
        <v>35</v>
      </c>
      <c r="C103" s="21">
        <v>50</v>
      </c>
      <c r="D103" s="20" t="s">
        <v>36</v>
      </c>
      <c r="E103" s="21">
        <v>1700</v>
      </c>
      <c r="F103" s="20">
        <f>84500/50</f>
        <v>1690</v>
      </c>
      <c r="G103" s="20" t="s">
        <v>8</v>
      </c>
      <c r="H103" s="11" t="s">
        <v>325</v>
      </c>
    </row>
    <row r="104" spans="1:8" s="8" customFormat="1" ht="26.25" customHeight="1" x14ac:dyDescent="0.25">
      <c r="A104" s="11" t="s">
        <v>282</v>
      </c>
      <c r="B104" s="20" t="s">
        <v>138</v>
      </c>
      <c r="C104" s="20">
        <v>1</v>
      </c>
      <c r="D104" s="22" t="s">
        <v>55</v>
      </c>
      <c r="E104" s="21">
        <v>8000</v>
      </c>
      <c r="F104" s="21">
        <v>7880</v>
      </c>
      <c r="G104" s="20" t="s">
        <v>8</v>
      </c>
      <c r="H104" s="11" t="s">
        <v>325</v>
      </c>
    </row>
    <row r="105" spans="1:8" s="8" customFormat="1" ht="26.25" customHeight="1" x14ac:dyDescent="0.25">
      <c r="A105" s="11" t="s">
        <v>283</v>
      </c>
      <c r="B105" s="20" t="s">
        <v>139</v>
      </c>
      <c r="C105" s="20">
        <v>1</v>
      </c>
      <c r="D105" s="22" t="s">
        <v>55</v>
      </c>
      <c r="E105" s="21">
        <v>3300</v>
      </c>
      <c r="F105" s="21">
        <v>3220</v>
      </c>
      <c r="G105" s="20" t="s">
        <v>8</v>
      </c>
      <c r="H105" s="11" t="s">
        <v>325</v>
      </c>
    </row>
    <row r="106" spans="1:8" s="8" customFormat="1" ht="26.25" customHeight="1" x14ac:dyDescent="0.25">
      <c r="A106" s="11" t="s">
        <v>268</v>
      </c>
      <c r="B106" s="20" t="s">
        <v>43</v>
      </c>
      <c r="C106" s="21">
        <v>8</v>
      </c>
      <c r="D106" s="20" t="s">
        <v>44</v>
      </c>
      <c r="E106" s="21">
        <v>32000</v>
      </c>
      <c r="F106" s="20"/>
      <c r="G106" s="20" t="s">
        <v>8</v>
      </c>
      <c r="H106" s="11" t="s">
        <v>325</v>
      </c>
    </row>
    <row r="107" spans="1:8" s="8" customFormat="1" ht="26.25" customHeight="1" x14ac:dyDescent="0.25">
      <c r="A107" s="11" t="s">
        <v>288</v>
      </c>
      <c r="B107" s="20" t="s">
        <v>145</v>
      </c>
      <c r="C107" s="20">
        <v>1</v>
      </c>
      <c r="D107" s="20" t="s">
        <v>67</v>
      </c>
      <c r="E107" s="21">
        <v>1800</v>
      </c>
      <c r="F107" s="21">
        <v>1750</v>
      </c>
      <c r="G107" s="20" t="s">
        <v>8</v>
      </c>
      <c r="H107" s="11" t="s">
        <v>325</v>
      </c>
    </row>
    <row r="108" spans="1:8" s="8" customFormat="1" ht="26.25" customHeight="1" x14ac:dyDescent="0.25">
      <c r="A108" s="11" t="s">
        <v>289</v>
      </c>
      <c r="B108" s="20" t="s">
        <v>146</v>
      </c>
      <c r="C108" s="20">
        <v>1</v>
      </c>
      <c r="D108" s="20" t="s">
        <v>67</v>
      </c>
      <c r="E108" s="21">
        <v>2350</v>
      </c>
      <c r="F108" s="21">
        <v>2270</v>
      </c>
      <c r="G108" s="20" t="s">
        <v>8</v>
      </c>
      <c r="H108" s="11" t="s">
        <v>325</v>
      </c>
    </row>
    <row r="109" spans="1:8" ht="26.25" customHeight="1" x14ac:dyDescent="0.25">
      <c r="A109" s="11" t="s">
        <v>273</v>
      </c>
      <c r="B109" s="9" t="s">
        <v>129</v>
      </c>
      <c r="C109" s="10">
        <v>50</v>
      </c>
      <c r="D109" s="9" t="s">
        <v>106</v>
      </c>
      <c r="E109" s="10">
        <v>800</v>
      </c>
      <c r="F109" s="9"/>
      <c r="G109" s="9" t="s">
        <v>8</v>
      </c>
      <c r="H109" s="11" t="s">
        <v>164</v>
      </c>
    </row>
    <row r="110" spans="1:8" ht="26.25" customHeight="1" x14ac:dyDescent="0.25">
      <c r="A110" s="11" t="s">
        <v>276</v>
      </c>
      <c r="B110" s="9" t="s">
        <v>132</v>
      </c>
      <c r="C110" s="10">
        <v>6</v>
      </c>
      <c r="D110" s="9" t="s">
        <v>106</v>
      </c>
      <c r="E110" s="10">
        <v>7300</v>
      </c>
      <c r="F110" s="9"/>
      <c r="G110" s="9" t="s">
        <v>8</v>
      </c>
      <c r="H110" s="11" t="s">
        <v>164</v>
      </c>
    </row>
    <row r="111" spans="1:8" ht="26.25" customHeight="1" x14ac:dyDescent="0.25">
      <c r="A111" s="11" t="s">
        <v>274</v>
      </c>
      <c r="B111" s="9" t="s">
        <v>130</v>
      </c>
      <c r="C111" s="10">
        <v>20</v>
      </c>
      <c r="D111" s="9" t="s">
        <v>106</v>
      </c>
      <c r="E111" s="10">
        <v>2000</v>
      </c>
      <c r="F111" s="9"/>
      <c r="G111" s="9" t="s">
        <v>8</v>
      </c>
      <c r="H111" s="11" t="s">
        <v>164</v>
      </c>
    </row>
    <row r="112" spans="1:8" ht="26.25" customHeight="1" x14ac:dyDescent="0.25">
      <c r="A112" s="11" t="s">
        <v>275</v>
      </c>
      <c r="B112" s="9" t="s">
        <v>131</v>
      </c>
      <c r="C112" s="10">
        <v>10</v>
      </c>
      <c r="D112" s="9" t="s">
        <v>106</v>
      </c>
      <c r="E112" s="10">
        <v>4000</v>
      </c>
      <c r="F112" s="9"/>
      <c r="G112" s="9" t="s">
        <v>8</v>
      </c>
      <c r="H112" s="11" t="s">
        <v>164</v>
      </c>
    </row>
    <row r="113" spans="1:8" ht="26.25" customHeight="1" x14ac:dyDescent="0.25">
      <c r="A113" s="11" t="s">
        <v>270</v>
      </c>
      <c r="B113" s="20" t="s">
        <v>112</v>
      </c>
      <c r="C113" s="21">
        <v>4</v>
      </c>
      <c r="D113" s="20" t="s">
        <v>67</v>
      </c>
      <c r="E113" s="21">
        <v>30000</v>
      </c>
      <c r="F113" s="21">
        <v>29300</v>
      </c>
      <c r="G113" s="20" t="s">
        <v>8</v>
      </c>
      <c r="H113" s="11" t="s">
        <v>325</v>
      </c>
    </row>
    <row r="114" spans="1:8" ht="26.25" customHeight="1" x14ac:dyDescent="0.25">
      <c r="A114" s="11" t="s">
        <v>269</v>
      </c>
      <c r="B114" s="20" t="s">
        <v>155</v>
      </c>
      <c r="C114" s="20">
        <v>60</v>
      </c>
      <c r="D114" s="20" t="s">
        <v>39</v>
      </c>
      <c r="E114" s="21">
        <v>1800</v>
      </c>
      <c r="F114" s="20"/>
      <c r="G114" s="20" t="s">
        <v>8</v>
      </c>
      <c r="H114" s="11" t="s">
        <v>325</v>
      </c>
    </row>
    <row r="115" spans="1:8" ht="26.25" customHeight="1" x14ac:dyDescent="0.25">
      <c r="A115" s="11" t="s">
        <v>272</v>
      </c>
      <c r="B115" s="9" t="s">
        <v>128</v>
      </c>
      <c r="C115" s="10">
        <v>4</v>
      </c>
      <c r="D115" s="9" t="s">
        <v>106</v>
      </c>
      <c r="E115" s="10">
        <v>28250</v>
      </c>
      <c r="F115" s="9"/>
      <c r="G115" s="9" t="s">
        <v>8</v>
      </c>
      <c r="H115" s="11" t="s">
        <v>164</v>
      </c>
    </row>
    <row r="116" spans="1:8" ht="26.25" customHeight="1" x14ac:dyDescent="0.25">
      <c r="A116" s="11" t="s">
        <v>271</v>
      </c>
      <c r="B116" s="9" t="s">
        <v>127</v>
      </c>
      <c r="C116" s="10">
        <v>24</v>
      </c>
      <c r="D116" s="9" t="s">
        <v>106</v>
      </c>
      <c r="E116" s="10">
        <v>6250</v>
      </c>
      <c r="F116" s="9"/>
      <c r="G116" s="9" t="s">
        <v>8</v>
      </c>
      <c r="H116" s="11" t="s">
        <v>164</v>
      </c>
    </row>
    <row r="117" spans="1:8" ht="26.25" customHeight="1" x14ac:dyDescent="0.25">
      <c r="A117" s="11" t="s">
        <v>264</v>
      </c>
      <c r="B117" s="20" t="s">
        <v>37</v>
      </c>
      <c r="C117" s="21">
        <v>24</v>
      </c>
      <c r="D117" s="20" t="s">
        <v>36</v>
      </c>
      <c r="E117" s="21">
        <v>12000</v>
      </c>
      <c r="F117" s="21">
        <v>11800</v>
      </c>
      <c r="G117" s="20" t="s">
        <v>8</v>
      </c>
      <c r="H117" s="11" t="s">
        <v>325</v>
      </c>
    </row>
    <row r="118" spans="1:8" ht="26.25" customHeight="1" x14ac:dyDescent="0.25">
      <c r="A118" s="11" t="s">
        <v>265</v>
      </c>
      <c r="B118" s="20" t="s">
        <v>38</v>
      </c>
      <c r="C118" s="20">
        <v>10</v>
      </c>
      <c r="D118" s="20" t="s">
        <v>36</v>
      </c>
      <c r="E118" s="21">
        <v>16100</v>
      </c>
      <c r="F118" s="21">
        <v>15800</v>
      </c>
      <c r="G118" s="20" t="s">
        <v>8</v>
      </c>
      <c r="H118" s="11" t="s">
        <v>325</v>
      </c>
    </row>
    <row r="119" spans="1:8" ht="26.25" customHeight="1" x14ac:dyDescent="0.25">
      <c r="A119" s="11" t="s">
        <v>290</v>
      </c>
      <c r="B119" s="20" t="s">
        <v>147</v>
      </c>
      <c r="C119" s="20">
        <v>1</v>
      </c>
      <c r="D119" s="22" t="s">
        <v>323</v>
      </c>
      <c r="E119" s="21">
        <v>7300</v>
      </c>
      <c r="F119" s="21">
        <v>7150</v>
      </c>
      <c r="G119" s="20" t="s">
        <v>8</v>
      </c>
      <c r="H119" s="11" t="s">
        <v>325</v>
      </c>
    </row>
    <row r="120" spans="1:8" ht="26.25" customHeight="1" x14ac:dyDescent="0.25">
      <c r="A120" s="11" t="s">
        <v>266</v>
      </c>
      <c r="B120" s="20" t="s">
        <v>40</v>
      </c>
      <c r="C120" s="20">
        <v>1</v>
      </c>
      <c r="D120" s="20" t="s">
        <v>36</v>
      </c>
      <c r="E120" s="21">
        <v>1900</v>
      </c>
      <c r="F120" s="21">
        <v>1850</v>
      </c>
      <c r="G120" s="20" t="s">
        <v>8</v>
      </c>
      <c r="H120" s="11" t="s">
        <v>325</v>
      </c>
    </row>
    <row r="121" spans="1:8" ht="26.25" customHeight="1" x14ac:dyDescent="0.25">
      <c r="A121" s="11" t="s">
        <v>279</v>
      </c>
      <c r="B121" s="20" t="s">
        <v>135</v>
      </c>
      <c r="C121" s="21">
        <v>10</v>
      </c>
      <c r="D121" s="20" t="s">
        <v>55</v>
      </c>
      <c r="E121" s="21">
        <v>7600</v>
      </c>
      <c r="F121" s="20">
        <v>7500</v>
      </c>
      <c r="G121" s="20" t="s">
        <v>8</v>
      </c>
      <c r="H121" s="11" t="s">
        <v>325</v>
      </c>
    </row>
    <row r="122" spans="1:8" ht="26.25" customHeight="1" x14ac:dyDescent="0.25">
      <c r="A122" s="11" t="s">
        <v>278</v>
      </c>
      <c r="B122" s="20" t="s">
        <v>134</v>
      </c>
      <c r="C122" s="21">
        <v>28</v>
      </c>
      <c r="D122" s="20" t="s">
        <v>39</v>
      </c>
      <c r="E122" s="21">
        <v>2750</v>
      </c>
      <c r="F122" s="20">
        <v>2680</v>
      </c>
      <c r="G122" s="20" t="s">
        <v>8</v>
      </c>
      <c r="H122" s="11" t="s">
        <v>325</v>
      </c>
    </row>
    <row r="123" spans="1:8" ht="26.25" customHeight="1" x14ac:dyDescent="0.25">
      <c r="A123" s="11" t="s">
        <v>277</v>
      </c>
      <c r="B123" s="20" t="s">
        <v>133</v>
      </c>
      <c r="C123" s="21">
        <v>80</v>
      </c>
      <c r="D123" s="20" t="s">
        <v>36</v>
      </c>
      <c r="E123" s="21">
        <v>6000</v>
      </c>
      <c r="F123" s="21">
        <v>5700</v>
      </c>
      <c r="G123" s="20" t="s">
        <v>8</v>
      </c>
      <c r="H123" s="11" t="s">
        <v>325</v>
      </c>
    </row>
    <row r="124" spans="1:8" s="8" customFormat="1" ht="26.25" customHeight="1" x14ac:dyDescent="0.25">
      <c r="A124" s="11" t="s">
        <v>267</v>
      </c>
      <c r="B124" s="20" t="s">
        <v>41</v>
      </c>
      <c r="C124" s="21">
        <v>12</v>
      </c>
      <c r="D124" s="20" t="s">
        <v>42</v>
      </c>
      <c r="E124" s="21">
        <v>9600</v>
      </c>
      <c r="F124" s="21">
        <v>9450</v>
      </c>
      <c r="G124" s="20" t="s">
        <v>8</v>
      </c>
      <c r="H124" s="11" t="s">
        <v>325</v>
      </c>
    </row>
    <row r="125" spans="1:8" ht="26.25" customHeight="1" x14ac:dyDescent="0.25">
      <c r="A125" s="11" t="s">
        <v>291</v>
      </c>
      <c r="B125" s="20" t="s">
        <v>148</v>
      </c>
      <c r="C125" s="21">
        <v>12</v>
      </c>
      <c r="D125" s="20" t="s">
        <v>42</v>
      </c>
      <c r="E125" s="21">
        <v>9000</v>
      </c>
      <c r="F125" s="21">
        <v>8900</v>
      </c>
      <c r="G125" s="20" t="s">
        <v>8</v>
      </c>
      <c r="H125" s="11" t="s">
        <v>325</v>
      </c>
    </row>
    <row r="126" spans="1:8" s="8" customFormat="1" ht="26.25" customHeight="1" x14ac:dyDescent="0.25">
      <c r="A126" s="11" t="s">
        <v>292</v>
      </c>
      <c r="B126" s="9" t="s">
        <v>149</v>
      </c>
      <c r="C126" s="9"/>
      <c r="D126" s="9" t="s">
        <v>42</v>
      </c>
      <c r="E126" s="9"/>
      <c r="F126" s="9"/>
      <c r="G126" s="9" t="s">
        <v>8</v>
      </c>
      <c r="H126" s="11" t="s">
        <v>164</v>
      </c>
    </row>
    <row r="127" spans="1:8" s="8" customFormat="1" ht="26.25" customHeight="1" x14ac:dyDescent="0.25">
      <c r="A127" s="11" t="s">
        <v>285</v>
      </c>
      <c r="B127" s="20" t="s">
        <v>141</v>
      </c>
      <c r="C127" s="21">
        <v>10</v>
      </c>
      <c r="D127" s="20" t="s">
        <v>142</v>
      </c>
      <c r="E127" s="21">
        <v>27500</v>
      </c>
      <c r="F127" s="20"/>
      <c r="G127" s="20" t="s">
        <v>8</v>
      </c>
      <c r="H127" s="11" t="s">
        <v>325</v>
      </c>
    </row>
    <row r="128" spans="1:8" ht="26.25" customHeight="1" x14ac:dyDescent="0.25">
      <c r="A128" s="11" t="s">
        <v>287</v>
      </c>
      <c r="B128" s="20" t="s">
        <v>144</v>
      </c>
      <c r="C128" s="21">
        <v>1</v>
      </c>
      <c r="D128" s="20" t="s">
        <v>142</v>
      </c>
      <c r="E128" s="21">
        <v>265000</v>
      </c>
      <c r="F128" s="20"/>
      <c r="G128" s="20" t="s">
        <v>8</v>
      </c>
      <c r="H128" s="11" t="s">
        <v>325</v>
      </c>
    </row>
    <row r="129" spans="1:8" ht="26.25" customHeight="1" x14ac:dyDescent="0.25">
      <c r="A129" s="11" t="s">
        <v>286</v>
      </c>
      <c r="B129" s="20" t="s">
        <v>143</v>
      </c>
      <c r="C129" s="21">
        <v>4</v>
      </c>
      <c r="D129" s="20" t="s">
        <v>142</v>
      </c>
      <c r="E129" s="21">
        <v>80000</v>
      </c>
      <c r="F129" s="20"/>
      <c r="G129" s="20" t="s">
        <v>8</v>
      </c>
      <c r="H129" s="11" t="s">
        <v>325</v>
      </c>
    </row>
    <row r="130" spans="1:8" ht="26.25" customHeight="1" x14ac:dyDescent="0.25">
      <c r="A130" s="11" t="s">
        <v>284</v>
      </c>
      <c r="B130" s="20" t="s">
        <v>140</v>
      </c>
      <c r="C130" s="21">
        <v>20</v>
      </c>
      <c r="D130" s="20" t="s">
        <v>55</v>
      </c>
      <c r="E130" s="21">
        <v>14000</v>
      </c>
      <c r="F130" s="20"/>
      <c r="G130" s="20" t="s">
        <v>8</v>
      </c>
      <c r="H130" s="11" t="s">
        <v>325</v>
      </c>
    </row>
    <row r="131" spans="1:8" ht="26.25" customHeight="1" x14ac:dyDescent="0.25">
      <c r="A131" s="11" t="s">
        <v>280</v>
      </c>
      <c r="B131" s="20" t="s">
        <v>136</v>
      </c>
      <c r="C131" s="21">
        <v>8</v>
      </c>
      <c r="D131" s="20" t="s">
        <v>55</v>
      </c>
      <c r="E131" s="21">
        <v>14500</v>
      </c>
      <c r="F131" s="20"/>
      <c r="G131" s="20" t="s">
        <v>8</v>
      </c>
      <c r="H131" s="11" t="s">
        <v>325</v>
      </c>
    </row>
    <row r="132" spans="1:8" ht="26.25" customHeight="1" x14ac:dyDescent="0.25">
      <c r="A132" s="11" t="s">
        <v>281</v>
      </c>
      <c r="B132" s="20" t="s">
        <v>137</v>
      </c>
      <c r="C132" s="21">
        <v>6</v>
      </c>
      <c r="D132" s="20" t="s">
        <v>55</v>
      </c>
      <c r="E132" s="21">
        <v>19200</v>
      </c>
      <c r="F132" s="20"/>
      <c r="G132" s="20" t="s">
        <v>8</v>
      </c>
      <c r="H132" s="11" t="s">
        <v>325</v>
      </c>
    </row>
    <row r="133" spans="1:8" ht="26.25" customHeight="1" x14ac:dyDescent="0.25">
      <c r="A133" s="11" t="s">
        <v>296</v>
      </c>
      <c r="B133" s="20" t="s">
        <v>152</v>
      </c>
      <c r="C133" s="21">
        <v>10</v>
      </c>
      <c r="D133" s="20" t="s">
        <v>12</v>
      </c>
      <c r="E133" s="21">
        <v>8000</v>
      </c>
      <c r="F133" s="20"/>
      <c r="G133" s="20" t="s">
        <v>9</v>
      </c>
      <c r="H133" s="11" t="s">
        <v>325</v>
      </c>
    </row>
    <row r="134" spans="1:8" ht="26.25" customHeight="1" x14ac:dyDescent="0.25">
      <c r="A134" s="11" t="s">
        <v>297</v>
      </c>
      <c r="B134" s="20" t="s">
        <v>153</v>
      </c>
      <c r="C134" s="21">
        <v>10</v>
      </c>
      <c r="D134" s="20" t="s">
        <v>12</v>
      </c>
      <c r="E134" s="21">
        <v>13000</v>
      </c>
      <c r="F134" s="20"/>
      <c r="G134" s="20" t="s">
        <v>9</v>
      </c>
      <c r="H134" s="11" t="s">
        <v>325</v>
      </c>
    </row>
    <row r="135" spans="1:8" ht="26.25" customHeight="1" x14ac:dyDescent="0.25">
      <c r="A135" s="11" t="s">
        <v>294</v>
      </c>
      <c r="B135" s="9" t="s">
        <v>150</v>
      </c>
      <c r="C135" s="10">
        <v>20</v>
      </c>
      <c r="D135" s="9" t="s">
        <v>67</v>
      </c>
      <c r="E135" s="10">
        <v>15500</v>
      </c>
      <c r="F135" s="10">
        <v>15300</v>
      </c>
      <c r="G135" s="9" t="s">
        <v>9</v>
      </c>
      <c r="H135" s="11" t="s">
        <v>164</v>
      </c>
    </row>
    <row r="136" spans="1:8" ht="26.25" customHeight="1" x14ac:dyDescent="0.25">
      <c r="A136" s="11" t="s">
        <v>295</v>
      </c>
      <c r="B136" s="9" t="s">
        <v>151</v>
      </c>
      <c r="C136" s="10">
        <v>20</v>
      </c>
      <c r="D136" s="9" t="s">
        <v>67</v>
      </c>
      <c r="E136" s="10">
        <v>34000</v>
      </c>
      <c r="F136" s="10">
        <v>33500</v>
      </c>
      <c r="G136" s="9" t="s">
        <v>9</v>
      </c>
      <c r="H136" s="11" t="s">
        <v>164</v>
      </c>
    </row>
    <row r="137" spans="1:8" ht="26.25" customHeight="1" x14ac:dyDescent="0.25">
      <c r="A137" s="19" t="s">
        <v>307</v>
      </c>
      <c r="B137" s="20" t="s">
        <v>115</v>
      </c>
      <c r="C137" s="20">
        <v>1</v>
      </c>
      <c r="D137" s="20" t="s">
        <v>67</v>
      </c>
      <c r="E137" s="21">
        <v>85000</v>
      </c>
      <c r="F137" s="21">
        <v>83500</v>
      </c>
      <c r="G137" s="20" t="s">
        <v>7</v>
      </c>
      <c r="H137" s="11" t="s">
        <v>325</v>
      </c>
    </row>
    <row r="138" spans="1:8" ht="26.25" customHeight="1" x14ac:dyDescent="0.25">
      <c r="A138" s="19" t="s">
        <v>306</v>
      </c>
      <c r="B138" s="20" t="s">
        <v>114</v>
      </c>
      <c r="C138" s="20">
        <v>1</v>
      </c>
      <c r="D138" s="20" t="s">
        <v>67</v>
      </c>
      <c r="E138" s="20">
        <v>109000</v>
      </c>
      <c r="F138" s="20">
        <v>108000</v>
      </c>
      <c r="G138" s="20" t="s">
        <v>7</v>
      </c>
      <c r="H138" s="11" t="s">
        <v>325</v>
      </c>
    </row>
    <row r="139" spans="1:8" ht="26.25" customHeight="1" x14ac:dyDescent="0.25">
      <c r="A139" s="11"/>
      <c r="B139" s="24" t="s">
        <v>366</v>
      </c>
      <c r="C139" s="20">
        <v>1</v>
      </c>
      <c r="D139" s="20" t="s">
        <v>55</v>
      </c>
      <c r="E139" s="21">
        <v>13700</v>
      </c>
      <c r="F139" s="21">
        <v>13300</v>
      </c>
      <c r="G139" s="20" t="s">
        <v>7</v>
      </c>
      <c r="H139" s="11"/>
    </row>
    <row r="140" spans="1:8" ht="26.25" customHeight="1" x14ac:dyDescent="0.25">
      <c r="A140" s="11"/>
      <c r="B140" s="24" t="s">
        <v>367</v>
      </c>
      <c r="C140" s="20">
        <v>1</v>
      </c>
      <c r="D140" s="20" t="s">
        <v>55</v>
      </c>
      <c r="E140" s="21">
        <v>13700</v>
      </c>
      <c r="F140" s="21">
        <v>13300</v>
      </c>
      <c r="G140" s="20" t="s">
        <v>7</v>
      </c>
      <c r="H140" s="11"/>
    </row>
    <row r="141" spans="1:8" ht="26.25" customHeight="1" x14ac:dyDescent="0.25">
      <c r="A141" s="11"/>
      <c r="B141" s="24" t="s">
        <v>365</v>
      </c>
      <c r="C141" s="20">
        <v>1</v>
      </c>
      <c r="D141" s="20" t="s">
        <v>55</v>
      </c>
      <c r="E141" s="21">
        <v>13700</v>
      </c>
      <c r="F141" s="21">
        <v>13300</v>
      </c>
      <c r="G141" s="20" t="s">
        <v>7</v>
      </c>
      <c r="H141" s="11"/>
    </row>
    <row r="142" spans="1:8" ht="26.25" customHeight="1" x14ac:dyDescent="0.25">
      <c r="A142" s="11"/>
      <c r="B142" s="24" t="s">
        <v>362</v>
      </c>
      <c r="C142" s="20">
        <v>1</v>
      </c>
      <c r="D142" s="20" t="s">
        <v>55</v>
      </c>
      <c r="E142" s="21">
        <v>13700</v>
      </c>
      <c r="F142" s="21">
        <v>13300</v>
      </c>
      <c r="G142" s="20" t="s">
        <v>7</v>
      </c>
      <c r="H142" s="11"/>
    </row>
    <row r="143" spans="1:8" ht="26.25" customHeight="1" x14ac:dyDescent="0.25">
      <c r="A143" s="11"/>
      <c r="B143" s="24" t="s">
        <v>364</v>
      </c>
      <c r="C143" s="20">
        <v>1</v>
      </c>
      <c r="D143" s="20" t="s">
        <v>55</v>
      </c>
      <c r="E143" s="21">
        <v>13700</v>
      </c>
      <c r="F143" s="21">
        <v>13300</v>
      </c>
      <c r="G143" s="20" t="s">
        <v>7</v>
      </c>
      <c r="H143" s="11"/>
    </row>
    <row r="144" spans="1:8" ht="26.25" customHeight="1" x14ac:dyDescent="0.25">
      <c r="A144" s="11"/>
      <c r="B144" s="24" t="s">
        <v>363</v>
      </c>
      <c r="C144" s="20">
        <v>1</v>
      </c>
      <c r="D144" s="20" t="s">
        <v>55</v>
      </c>
      <c r="E144" s="21">
        <v>13700</v>
      </c>
      <c r="F144" s="21">
        <v>13300</v>
      </c>
      <c r="G144" s="20" t="s">
        <v>7</v>
      </c>
      <c r="H144" s="11"/>
    </row>
    <row r="145" spans="1:8" ht="26.25" customHeight="1" x14ac:dyDescent="0.25">
      <c r="A145" s="19" t="s">
        <v>302</v>
      </c>
      <c r="B145" s="20" t="s">
        <v>361</v>
      </c>
      <c r="C145" s="20">
        <v>1</v>
      </c>
      <c r="D145" s="20" t="s">
        <v>55</v>
      </c>
      <c r="E145" s="21">
        <v>13700</v>
      </c>
      <c r="F145" s="21">
        <v>13300</v>
      </c>
      <c r="G145" s="20" t="s">
        <v>7</v>
      </c>
      <c r="H145" s="11" t="s">
        <v>325</v>
      </c>
    </row>
    <row r="146" spans="1:8" ht="26.25" customHeight="1" x14ac:dyDescent="0.25">
      <c r="A146" s="11"/>
      <c r="B146" s="24" t="s">
        <v>368</v>
      </c>
      <c r="C146" s="20">
        <v>1</v>
      </c>
      <c r="D146" s="20" t="s">
        <v>55</v>
      </c>
      <c r="E146" s="21">
        <v>13700</v>
      </c>
      <c r="F146" s="21">
        <v>13300</v>
      </c>
      <c r="G146" s="20" t="s">
        <v>7</v>
      </c>
      <c r="H146" s="11"/>
    </row>
    <row r="147" spans="1:8" ht="26.25" customHeight="1" x14ac:dyDescent="0.25">
      <c r="A147" s="19" t="s">
        <v>309</v>
      </c>
      <c r="B147" s="20" t="s">
        <v>117</v>
      </c>
      <c r="C147" s="20">
        <v>1</v>
      </c>
      <c r="D147" s="20" t="s">
        <v>67</v>
      </c>
      <c r="E147" s="21">
        <v>25700</v>
      </c>
      <c r="F147" s="20"/>
      <c r="G147" s="20" t="s">
        <v>7</v>
      </c>
      <c r="H147" s="11" t="s">
        <v>325</v>
      </c>
    </row>
    <row r="148" spans="1:8" ht="26.25" customHeight="1" x14ac:dyDescent="0.25">
      <c r="A148" s="19" t="s">
        <v>308</v>
      </c>
      <c r="B148" s="20" t="s">
        <v>116</v>
      </c>
      <c r="C148" s="20">
        <v>1</v>
      </c>
      <c r="D148" s="20" t="s">
        <v>67</v>
      </c>
      <c r="E148" s="21">
        <v>31000</v>
      </c>
      <c r="F148" s="21">
        <v>29000</v>
      </c>
      <c r="G148" s="20" t="s">
        <v>7</v>
      </c>
      <c r="H148" s="11" t="s">
        <v>325</v>
      </c>
    </row>
    <row r="149" spans="1:8" ht="26.25" customHeight="1" x14ac:dyDescent="0.25">
      <c r="A149" s="11"/>
      <c r="B149" s="24" t="s">
        <v>360</v>
      </c>
      <c r="C149" s="20">
        <v>1</v>
      </c>
      <c r="D149" s="20" t="s">
        <v>323</v>
      </c>
      <c r="E149" s="21">
        <v>10500</v>
      </c>
      <c r="F149" s="21">
        <v>10300</v>
      </c>
      <c r="G149" s="20" t="s">
        <v>7</v>
      </c>
      <c r="H149" s="11" t="s">
        <v>325</v>
      </c>
    </row>
    <row r="150" spans="1:8" ht="26.25" customHeight="1" x14ac:dyDescent="0.25">
      <c r="A150" s="11"/>
      <c r="B150" s="24" t="s">
        <v>359</v>
      </c>
      <c r="C150" s="20">
        <v>1</v>
      </c>
      <c r="D150" s="20" t="s">
        <v>323</v>
      </c>
      <c r="E150" s="21">
        <v>10500</v>
      </c>
      <c r="F150" s="21">
        <v>10300</v>
      </c>
      <c r="G150" s="20" t="s">
        <v>7</v>
      </c>
      <c r="H150" s="11" t="s">
        <v>325</v>
      </c>
    </row>
    <row r="151" spans="1:8" ht="26.25" customHeight="1" x14ac:dyDescent="0.25">
      <c r="A151" s="19" t="s">
        <v>317</v>
      </c>
      <c r="B151" s="20" t="s">
        <v>124</v>
      </c>
      <c r="C151" s="20">
        <v>15</v>
      </c>
      <c r="D151" s="20" t="s">
        <v>322</v>
      </c>
      <c r="E151" s="21">
        <v>6500</v>
      </c>
      <c r="F151" s="21">
        <v>6200</v>
      </c>
      <c r="G151" s="20" t="s">
        <v>7</v>
      </c>
      <c r="H151" s="11" t="s">
        <v>325</v>
      </c>
    </row>
    <row r="152" spans="1:8" ht="26.25" customHeight="1" x14ac:dyDescent="0.25">
      <c r="A152" s="19" t="s">
        <v>318</v>
      </c>
      <c r="B152" s="20" t="s">
        <v>125</v>
      </c>
      <c r="C152" s="20">
        <v>15</v>
      </c>
      <c r="D152" s="20" t="s">
        <v>322</v>
      </c>
      <c r="E152" s="21">
        <v>6500</v>
      </c>
      <c r="F152" s="21">
        <v>6200</v>
      </c>
      <c r="G152" s="20" t="s">
        <v>7</v>
      </c>
      <c r="H152" s="11" t="s">
        <v>325</v>
      </c>
    </row>
    <row r="153" spans="1:8" ht="26.25" customHeight="1" x14ac:dyDescent="0.25">
      <c r="A153" s="11" t="s">
        <v>299</v>
      </c>
      <c r="B153" s="20" t="s">
        <v>108</v>
      </c>
      <c r="C153" s="21">
        <v>6</v>
      </c>
      <c r="D153" s="20" t="s">
        <v>33</v>
      </c>
      <c r="E153" s="21">
        <v>27500</v>
      </c>
      <c r="F153" s="21">
        <v>28800</v>
      </c>
      <c r="G153" s="20" t="s">
        <v>7</v>
      </c>
      <c r="H153" s="11" t="s">
        <v>325</v>
      </c>
    </row>
    <row r="154" spans="1:8" ht="26.25" customHeight="1" x14ac:dyDescent="0.25">
      <c r="A154" s="19" t="s">
        <v>301</v>
      </c>
      <c r="B154" s="20" t="s">
        <v>110</v>
      </c>
      <c r="C154" s="20">
        <v>1</v>
      </c>
      <c r="D154" s="20" t="s">
        <v>55</v>
      </c>
      <c r="E154" s="21">
        <v>19800</v>
      </c>
      <c r="F154" s="21">
        <v>19500</v>
      </c>
      <c r="G154" s="20" t="s">
        <v>7</v>
      </c>
      <c r="H154" s="11" t="s">
        <v>325</v>
      </c>
    </row>
    <row r="155" spans="1:8" ht="26.25" customHeight="1" x14ac:dyDescent="0.25">
      <c r="A155" s="19" t="s">
        <v>304</v>
      </c>
      <c r="B155" s="20" t="s">
        <v>111</v>
      </c>
      <c r="C155" s="22">
        <v>1</v>
      </c>
      <c r="D155" s="20" t="s">
        <v>67</v>
      </c>
      <c r="E155" s="21">
        <v>15800</v>
      </c>
      <c r="F155" s="21">
        <v>15500</v>
      </c>
      <c r="G155" s="20" t="s">
        <v>7</v>
      </c>
      <c r="H155" s="11" t="s">
        <v>325</v>
      </c>
    </row>
    <row r="156" spans="1:8" ht="26.25" customHeight="1" x14ac:dyDescent="0.25">
      <c r="A156" s="11"/>
      <c r="B156" s="24" t="s">
        <v>358</v>
      </c>
      <c r="C156" s="21">
        <v>12</v>
      </c>
      <c r="D156" s="20" t="s">
        <v>55</v>
      </c>
      <c r="E156" s="21">
        <v>22000</v>
      </c>
      <c r="F156" s="21">
        <v>21800</v>
      </c>
      <c r="G156" s="20" t="s">
        <v>7</v>
      </c>
      <c r="H156" s="11" t="s">
        <v>164</v>
      </c>
    </row>
    <row r="157" spans="1:8" ht="26.25" customHeight="1" x14ac:dyDescent="0.25">
      <c r="A157" s="11"/>
      <c r="B157" s="24" t="s">
        <v>370</v>
      </c>
      <c r="C157" s="21">
        <v>12</v>
      </c>
      <c r="D157" s="20" t="s">
        <v>55</v>
      </c>
      <c r="E157" s="21">
        <v>22000</v>
      </c>
      <c r="F157" s="21">
        <v>21800</v>
      </c>
      <c r="G157" s="20" t="s">
        <v>7</v>
      </c>
      <c r="H157" s="11" t="s">
        <v>325</v>
      </c>
    </row>
    <row r="158" spans="1:8" ht="26.25" customHeight="1" x14ac:dyDescent="0.25">
      <c r="A158" s="11"/>
      <c r="B158" s="24" t="s">
        <v>357</v>
      </c>
      <c r="C158" s="21">
        <v>12</v>
      </c>
      <c r="D158" s="20" t="s">
        <v>55</v>
      </c>
      <c r="E158" s="21">
        <v>22000</v>
      </c>
      <c r="F158" s="21">
        <v>21800</v>
      </c>
      <c r="G158" s="20" t="s">
        <v>7</v>
      </c>
      <c r="H158" s="11" t="s">
        <v>164</v>
      </c>
    </row>
    <row r="159" spans="1:8" ht="26.25" customHeight="1" x14ac:dyDescent="0.25">
      <c r="A159" s="11" t="s">
        <v>298</v>
      </c>
      <c r="B159" s="20" t="s">
        <v>107</v>
      </c>
      <c r="C159" s="22">
        <v>1</v>
      </c>
      <c r="D159" s="20" t="s">
        <v>33</v>
      </c>
      <c r="E159" s="21">
        <v>38500</v>
      </c>
      <c r="F159" s="21">
        <v>38200</v>
      </c>
      <c r="G159" s="20" t="s">
        <v>7</v>
      </c>
      <c r="H159" s="11" t="s">
        <v>325</v>
      </c>
    </row>
    <row r="160" spans="1:8" ht="26.25" customHeight="1" x14ac:dyDescent="0.25">
      <c r="A160" s="15"/>
      <c r="B160" s="26" t="s">
        <v>356</v>
      </c>
      <c r="C160" s="20">
        <v>1</v>
      </c>
      <c r="D160" s="20" t="s">
        <v>55</v>
      </c>
      <c r="E160" s="21">
        <v>30500</v>
      </c>
      <c r="F160" s="21">
        <v>30200</v>
      </c>
      <c r="G160" s="20" t="s">
        <v>7</v>
      </c>
      <c r="H160" s="11" t="s">
        <v>325</v>
      </c>
    </row>
    <row r="161" spans="1:8" ht="26.25" customHeight="1" x14ac:dyDescent="0.25">
      <c r="A161" s="11"/>
      <c r="B161" s="24" t="s">
        <v>354</v>
      </c>
      <c r="C161" s="20">
        <v>1</v>
      </c>
      <c r="D161" s="20" t="s">
        <v>323</v>
      </c>
      <c r="E161" s="21">
        <v>27000</v>
      </c>
      <c r="F161" s="21">
        <v>26500</v>
      </c>
      <c r="G161" s="20" t="s">
        <v>7</v>
      </c>
      <c r="H161" s="11" t="s">
        <v>325</v>
      </c>
    </row>
    <row r="162" spans="1:8" ht="26.25" customHeight="1" x14ac:dyDescent="0.25">
      <c r="A162" s="11"/>
      <c r="B162" s="24" t="s">
        <v>353</v>
      </c>
      <c r="C162" s="20">
        <v>1</v>
      </c>
      <c r="D162" s="20" t="s">
        <v>323</v>
      </c>
      <c r="E162" s="21">
        <v>27000</v>
      </c>
      <c r="F162" s="21">
        <v>26500</v>
      </c>
      <c r="G162" s="20" t="s">
        <v>7</v>
      </c>
      <c r="H162" s="11" t="s">
        <v>325</v>
      </c>
    </row>
    <row r="163" spans="1:8" ht="26.25" customHeight="1" x14ac:dyDescent="0.25">
      <c r="A163" s="11"/>
      <c r="B163" s="24" t="s">
        <v>355</v>
      </c>
      <c r="C163" s="20">
        <v>1</v>
      </c>
      <c r="D163" s="20" t="s">
        <v>323</v>
      </c>
      <c r="E163" s="21">
        <v>27000</v>
      </c>
      <c r="F163" s="21">
        <v>26500</v>
      </c>
      <c r="G163" s="20" t="s">
        <v>7</v>
      </c>
      <c r="H163" s="11" t="s">
        <v>325</v>
      </c>
    </row>
    <row r="164" spans="1:8" ht="26.25" customHeight="1" x14ac:dyDescent="0.25">
      <c r="A164" s="11"/>
      <c r="B164" s="24" t="s">
        <v>337</v>
      </c>
      <c r="C164" s="20">
        <v>1</v>
      </c>
      <c r="D164" s="20" t="s">
        <v>67</v>
      </c>
      <c r="E164" s="21">
        <v>6500</v>
      </c>
      <c r="F164" s="21">
        <v>6300</v>
      </c>
      <c r="G164" s="20" t="s">
        <v>7</v>
      </c>
      <c r="H164" s="11" t="s">
        <v>325</v>
      </c>
    </row>
    <row r="165" spans="1:8" ht="26.25" customHeight="1" x14ac:dyDescent="0.25">
      <c r="A165" s="11"/>
      <c r="B165" s="24" t="s">
        <v>336</v>
      </c>
      <c r="C165" s="20">
        <v>1</v>
      </c>
      <c r="D165" s="20" t="s">
        <v>67</v>
      </c>
      <c r="E165" s="21">
        <v>6500</v>
      </c>
      <c r="F165" s="21">
        <v>6300</v>
      </c>
      <c r="G165" s="20" t="s">
        <v>7</v>
      </c>
      <c r="H165" s="11" t="s">
        <v>325</v>
      </c>
    </row>
    <row r="166" spans="1:8" ht="26.25" customHeight="1" x14ac:dyDescent="0.25">
      <c r="A166" s="11"/>
      <c r="B166" s="24" t="s">
        <v>338</v>
      </c>
      <c r="C166" s="20">
        <v>1</v>
      </c>
      <c r="D166" s="20" t="s">
        <v>67</v>
      </c>
      <c r="E166" s="21">
        <v>6500</v>
      </c>
      <c r="F166" s="21">
        <v>6300</v>
      </c>
      <c r="G166" s="20" t="s">
        <v>7</v>
      </c>
      <c r="H166" s="11" t="s">
        <v>325</v>
      </c>
    </row>
    <row r="167" spans="1:8" ht="26.25" customHeight="1" x14ac:dyDescent="0.25">
      <c r="A167" s="11"/>
      <c r="B167" s="24" t="s">
        <v>327</v>
      </c>
      <c r="C167" s="21">
        <v>8</v>
      </c>
      <c r="D167" s="20" t="s">
        <v>36</v>
      </c>
      <c r="E167" s="25">
        <v>23700</v>
      </c>
      <c r="F167" s="21">
        <v>23500</v>
      </c>
      <c r="G167" s="20" t="s">
        <v>7</v>
      </c>
      <c r="H167" s="11" t="s">
        <v>325</v>
      </c>
    </row>
    <row r="168" spans="1:8" ht="26.25" customHeight="1" x14ac:dyDescent="0.25">
      <c r="A168" s="11"/>
      <c r="B168" s="24" t="s">
        <v>341</v>
      </c>
      <c r="C168" s="21">
        <v>8</v>
      </c>
      <c r="D168" s="20" t="s">
        <v>36</v>
      </c>
      <c r="E168" s="25">
        <v>23700</v>
      </c>
      <c r="F168" s="21">
        <v>23500</v>
      </c>
      <c r="G168" s="20" t="s">
        <v>7</v>
      </c>
      <c r="H168" s="11" t="s">
        <v>325</v>
      </c>
    </row>
    <row r="169" spans="1:8" ht="26.25" customHeight="1" x14ac:dyDescent="0.25">
      <c r="A169" s="15"/>
      <c r="B169" s="26" t="s">
        <v>331</v>
      </c>
      <c r="C169" s="21">
        <v>8</v>
      </c>
      <c r="D169" s="20" t="s">
        <v>36</v>
      </c>
      <c r="E169" s="25">
        <v>23700</v>
      </c>
      <c r="F169" s="21">
        <v>23500</v>
      </c>
      <c r="G169" s="20" t="s">
        <v>7</v>
      </c>
      <c r="H169" s="11" t="s">
        <v>325</v>
      </c>
    </row>
    <row r="170" spans="1:8" ht="26.25" customHeight="1" x14ac:dyDescent="0.25">
      <c r="A170" s="11"/>
      <c r="B170" s="24" t="s">
        <v>340</v>
      </c>
      <c r="C170" s="29">
        <v>8</v>
      </c>
      <c r="D170" s="28" t="s">
        <v>36</v>
      </c>
      <c r="E170" s="32">
        <v>23700</v>
      </c>
      <c r="F170" s="29">
        <v>23500</v>
      </c>
      <c r="G170" s="20" t="s">
        <v>7</v>
      </c>
      <c r="H170" s="15" t="s">
        <v>325</v>
      </c>
    </row>
    <row r="171" spans="1:8" ht="26.25" customHeight="1" x14ac:dyDescent="0.25">
      <c r="A171" s="11"/>
      <c r="B171" s="24" t="s">
        <v>328</v>
      </c>
      <c r="C171" s="29">
        <v>8</v>
      </c>
      <c r="D171" s="28" t="s">
        <v>36</v>
      </c>
      <c r="E171" s="32">
        <v>23700</v>
      </c>
      <c r="F171" s="29">
        <v>23500</v>
      </c>
      <c r="G171" s="20" t="s">
        <v>7</v>
      </c>
      <c r="H171" s="15" t="s">
        <v>325</v>
      </c>
    </row>
    <row r="172" spans="1:8" ht="26.25" customHeight="1" x14ac:dyDescent="0.25">
      <c r="A172" s="11"/>
      <c r="B172" s="24" t="s">
        <v>330</v>
      </c>
      <c r="C172" s="29">
        <v>8</v>
      </c>
      <c r="D172" s="28" t="s">
        <v>36</v>
      </c>
      <c r="E172" s="32">
        <v>23700</v>
      </c>
      <c r="F172" s="29">
        <v>23500</v>
      </c>
      <c r="G172" s="20" t="s">
        <v>7</v>
      </c>
      <c r="H172" s="15" t="s">
        <v>325</v>
      </c>
    </row>
    <row r="173" spans="1:8" ht="26.25" customHeight="1" x14ac:dyDescent="0.25">
      <c r="A173" s="11"/>
      <c r="B173" s="24" t="s">
        <v>339</v>
      </c>
      <c r="C173" s="29">
        <v>8</v>
      </c>
      <c r="D173" s="28" t="s">
        <v>36</v>
      </c>
      <c r="E173" s="32">
        <v>23700</v>
      </c>
      <c r="F173" s="29">
        <v>23500</v>
      </c>
      <c r="G173" s="20" t="s">
        <v>7</v>
      </c>
      <c r="H173" s="15" t="s">
        <v>325</v>
      </c>
    </row>
    <row r="174" spans="1:8" ht="26.25" customHeight="1" x14ac:dyDescent="0.25">
      <c r="A174" s="15"/>
      <c r="B174" s="26" t="s">
        <v>329</v>
      </c>
      <c r="C174" s="29">
        <v>8</v>
      </c>
      <c r="D174" s="28" t="s">
        <v>36</v>
      </c>
      <c r="E174" s="32">
        <v>23700</v>
      </c>
      <c r="F174" s="29">
        <v>23500</v>
      </c>
      <c r="G174" s="20" t="s">
        <v>7</v>
      </c>
      <c r="H174" s="15" t="s">
        <v>325</v>
      </c>
    </row>
    <row r="175" spans="1:8" ht="26.25" customHeight="1" x14ac:dyDescent="0.25">
      <c r="A175" s="11"/>
      <c r="B175" s="24" t="s">
        <v>335</v>
      </c>
      <c r="C175" s="22">
        <v>1</v>
      </c>
      <c r="D175" s="20" t="s">
        <v>55</v>
      </c>
      <c r="E175" s="21">
        <v>16000</v>
      </c>
      <c r="F175" s="21">
        <v>15500</v>
      </c>
      <c r="G175" s="20" t="s">
        <v>7</v>
      </c>
      <c r="H175" s="11" t="s">
        <v>325</v>
      </c>
    </row>
    <row r="176" spans="1:8" ht="26.25" customHeight="1" x14ac:dyDescent="0.25">
      <c r="A176" s="11"/>
      <c r="B176" s="24" t="s">
        <v>334</v>
      </c>
      <c r="C176" s="22">
        <v>1</v>
      </c>
      <c r="D176" s="20" t="s">
        <v>55</v>
      </c>
      <c r="E176" s="21">
        <v>16000</v>
      </c>
      <c r="F176" s="21">
        <v>15500</v>
      </c>
      <c r="G176" s="20" t="s">
        <v>7</v>
      </c>
      <c r="H176" s="11" t="s">
        <v>325</v>
      </c>
    </row>
    <row r="177" spans="1:8" ht="26.25" customHeight="1" x14ac:dyDescent="0.25">
      <c r="A177" s="11"/>
      <c r="B177" s="24" t="s">
        <v>333</v>
      </c>
      <c r="C177" s="22">
        <v>1</v>
      </c>
      <c r="D177" s="20" t="s">
        <v>55</v>
      </c>
      <c r="E177" s="21">
        <v>16000</v>
      </c>
      <c r="F177" s="21">
        <v>15500</v>
      </c>
      <c r="G177" s="20" t="s">
        <v>7</v>
      </c>
      <c r="H177" s="11" t="s">
        <v>325</v>
      </c>
    </row>
    <row r="178" spans="1:8" ht="26.25" customHeight="1" x14ac:dyDescent="0.25">
      <c r="A178" s="11"/>
      <c r="B178" s="24" t="s">
        <v>332</v>
      </c>
      <c r="C178" s="22">
        <v>1</v>
      </c>
      <c r="D178" s="20" t="s">
        <v>55</v>
      </c>
      <c r="E178" s="21">
        <v>16000</v>
      </c>
      <c r="F178" s="21">
        <v>15500</v>
      </c>
      <c r="G178" s="20" t="s">
        <v>7</v>
      </c>
      <c r="H178" s="11" t="s">
        <v>325</v>
      </c>
    </row>
    <row r="179" spans="1:8" ht="26.25" customHeight="1" x14ac:dyDescent="0.25">
      <c r="A179" s="19" t="s">
        <v>315</v>
      </c>
      <c r="B179" s="20" t="s">
        <v>158</v>
      </c>
      <c r="C179" s="21">
        <v>12</v>
      </c>
      <c r="D179" s="20" t="s">
        <v>12</v>
      </c>
      <c r="E179" s="21">
        <v>3500</v>
      </c>
      <c r="F179" s="20"/>
      <c r="G179" s="20" t="s">
        <v>7</v>
      </c>
      <c r="H179" s="11" t="s">
        <v>325</v>
      </c>
    </row>
    <row r="180" spans="1:8" ht="26.25" customHeight="1" x14ac:dyDescent="0.25">
      <c r="A180" s="19" t="s">
        <v>314</v>
      </c>
      <c r="B180" s="20" t="s">
        <v>122</v>
      </c>
      <c r="C180" s="21">
        <v>3</v>
      </c>
      <c r="D180" s="20" t="s">
        <v>36</v>
      </c>
      <c r="E180" s="21">
        <v>15500</v>
      </c>
      <c r="F180" s="20"/>
      <c r="G180" s="20" t="s">
        <v>7</v>
      </c>
      <c r="H180" s="11" t="s">
        <v>325</v>
      </c>
    </row>
    <row r="181" spans="1:8" ht="26.25" customHeight="1" x14ac:dyDescent="0.25">
      <c r="A181" s="19" t="s">
        <v>316</v>
      </c>
      <c r="B181" s="20" t="s">
        <v>123</v>
      </c>
      <c r="C181" s="20">
        <v>1</v>
      </c>
      <c r="D181" s="20" t="s">
        <v>322</v>
      </c>
      <c r="E181" s="21">
        <v>6500</v>
      </c>
      <c r="F181" s="20"/>
      <c r="G181" s="20" t="s">
        <v>7</v>
      </c>
      <c r="H181" s="11" t="s">
        <v>325</v>
      </c>
    </row>
    <row r="182" spans="1:8" ht="26.25" customHeight="1" x14ac:dyDescent="0.25">
      <c r="A182" s="19" t="s">
        <v>303</v>
      </c>
      <c r="B182" s="20" t="s">
        <v>369</v>
      </c>
      <c r="C182" s="21">
        <v>8</v>
      </c>
      <c r="D182" s="20" t="s">
        <v>67</v>
      </c>
      <c r="E182" s="21">
        <v>43000</v>
      </c>
      <c r="F182" s="21">
        <v>42500</v>
      </c>
      <c r="G182" s="20" t="s">
        <v>7</v>
      </c>
      <c r="H182" s="11" t="s">
        <v>325</v>
      </c>
    </row>
    <row r="183" spans="1:8" ht="26.25" customHeight="1" x14ac:dyDescent="0.25">
      <c r="A183" s="19" t="s">
        <v>312</v>
      </c>
      <c r="B183" s="20" t="s">
        <v>120</v>
      </c>
      <c r="C183" s="20">
        <v>1</v>
      </c>
      <c r="D183" s="20" t="s">
        <v>33</v>
      </c>
      <c r="E183" s="21">
        <v>41500</v>
      </c>
      <c r="F183" s="21">
        <v>40700</v>
      </c>
      <c r="G183" s="20" t="s">
        <v>7</v>
      </c>
      <c r="H183" s="11" t="s">
        <v>325</v>
      </c>
    </row>
    <row r="184" spans="1:8" ht="26.25" customHeight="1" x14ac:dyDescent="0.25">
      <c r="A184" s="19" t="s">
        <v>319</v>
      </c>
      <c r="B184" s="20" t="s">
        <v>126</v>
      </c>
      <c r="C184" s="20">
        <v>1</v>
      </c>
      <c r="D184" s="20" t="s">
        <v>67</v>
      </c>
      <c r="E184" s="21">
        <v>16000</v>
      </c>
      <c r="F184" s="21">
        <v>15900</v>
      </c>
      <c r="G184" s="20" t="s">
        <v>7</v>
      </c>
      <c r="H184" s="11" t="s">
        <v>325</v>
      </c>
    </row>
    <row r="185" spans="1:8" ht="26.25" customHeight="1" x14ac:dyDescent="0.25">
      <c r="A185" s="31" t="s">
        <v>311</v>
      </c>
      <c r="B185" s="28" t="s">
        <v>119</v>
      </c>
      <c r="C185" s="20">
        <v>1</v>
      </c>
      <c r="D185" s="20" t="s">
        <v>55</v>
      </c>
      <c r="E185" s="21">
        <v>31000</v>
      </c>
      <c r="F185" s="21">
        <v>30000</v>
      </c>
      <c r="G185" s="20" t="s">
        <v>7</v>
      </c>
      <c r="H185" s="11" t="s">
        <v>325</v>
      </c>
    </row>
    <row r="186" spans="1:8" ht="26.25" customHeight="1" x14ac:dyDescent="0.25">
      <c r="A186" s="19" t="s">
        <v>310</v>
      </c>
      <c r="B186" s="20" t="s">
        <v>118</v>
      </c>
      <c r="C186" s="20">
        <v>1</v>
      </c>
      <c r="D186" s="20" t="s">
        <v>55</v>
      </c>
      <c r="E186" s="21">
        <v>30000</v>
      </c>
      <c r="F186" s="21">
        <v>29000</v>
      </c>
      <c r="G186" s="20" t="s">
        <v>7</v>
      </c>
      <c r="H186" s="11" t="s">
        <v>325</v>
      </c>
    </row>
    <row r="187" spans="1:8" ht="26.25" customHeight="1" x14ac:dyDescent="0.25">
      <c r="A187" s="19" t="s">
        <v>305</v>
      </c>
      <c r="B187" s="20" t="s">
        <v>113</v>
      </c>
      <c r="C187" s="21">
        <v>10</v>
      </c>
      <c r="D187" s="20" t="s">
        <v>44</v>
      </c>
      <c r="E187" s="21">
        <v>56000</v>
      </c>
      <c r="F187" s="20"/>
      <c r="G187" s="20" t="s">
        <v>7</v>
      </c>
      <c r="H187" s="11" t="s">
        <v>325</v>
      </c>
    </row>
    <row r="188" spans="1:8" ht="26.25" customHeight="1" x14ac:dyDescent="0.25">
      <c r="A188" s="31" t="s">
        <v>300</v>
      </c>
      <c r="B188" s="28" t="s">
        <v>109</v>
      </c>
      <c r="C188" s="20">
        <v>1</v>
      </c>
      <c r="D188" s="20" t="s">
        <v>44</v>
      </c>
      <c r="E188" s="21">
        <v>14200</v>
      </c>
      <c r="F188" s="21">
        <v>14000</v>
      </c>
      <c r="G188" s="20" t="s">
        <v>7</v>
      </c>
      <c r="H188" s="11" t="s">
        <v>325</v>
      </c>
    </row>
    <row r="189" spans="1:8" ht="26.25" customHeight="1" x14ac:dyDescent="0.25">
      <c r="A189" s="11"/>
      <c r="B189" s="24" t="s">
        <v>347</v>
      </c>
      <c r="C189" s="20">
        <v>1</v>
      </c>
      <c r="D189" s="20" t="s">
        <v>55</v>
      </c>
      <c r="E189" s="21">
        <v>35500</v>
      </c>
      <c r="F189" s="21">
        <v>34700</v>
      </c>
      <c r="G189" s="20" t="s">
        <v>7</v>
      </c>
      <c r="H189" s="11" t="s">
        <v>325</v>
      </c>
    </row>
    <row r="190" spans="1:8" ht="26.25" customHeight="1" x14ac:dyDescent="0.25">
      <c r="A190" s="11"/>
      <c r="B190" s="24" t="s">
        <v>348</v>
      </c>
      <c r="C190" s="20">
        <v>1</v>
      </c>
      <c r="D190" s="20" t="s">
        <v>55</v>
      </c>
      <c r="E190" s="21">
        <v>35500</v>
      </c>
      <c r="F190" s="21">
        <v>34700</v>
      </c>
      <c r="G190" s="20" t="s">
        <v>7</v>
      </c>
      <c r="H190" s="11" t="s">
        <v>325</v>
      </c>
    </row>
    <row r="191" spans="1:8" ht="26.25" customHeight="1" x14ac:dyDescent="0.25">
      <c r="A191" s="11"/>
      <c r="B191" s="24" t="s">
        <v>349</v>
      </c>
      <c r="C191" s="20">
        <v>1</v>
      </c>
      <c r="D191" s="20" t="s">
        <v>55</v>
      </c>
      <c r="E191" s="21">
        <v>35500</v>
      </c>
      <c r="F191" s="21">
        <v>34700</v>
      </c>
      <c r="G191" s="20" t="s">
        <v>7</v>
      </c>
      <c r="H191" s="11" t="s">
        <v>325</v>
      </c>
    </row>
    <row r="192" spans="1:8" ht="26.25" customHeight="1" x14ac:dyDescent="0.25">
      <c r="A192" s="31" t="s">
        <v>313</v>
      </c>
      <c r="B192" s="28" t="s">
        <v>121</v>
      </c>
      <c r="C192" s="20">
        <v>1</v>
      </c>
      <c r="D192" s="20" t="s">
        <v>55</v>
      </c>
      <c r="E192" s="21">
        <v>35500</v>
      </c>
      <c r="F192" s="21">
        <v>34700</v>
      </c>
      <c r="G192" s="20" t="s">
        <v>7</v>
      </c>
      <c r="H192" s="11" t="s">
        <v>325</v>
      </c>
    </row>
    <row r="193" spans="1:8" ht="26.25" customHeight="1" x14ac:dyDescent="0.25">
      <c r="A193" s="11"/>
      <c r="B193" s="24" t="s">
        <v>343</v>
      </c>
      <c r="C193" s="9">
        <v>1</v>
      </c>
      <c r="D193" s="30" t="s">
        <v>55</v>
      </c>
      <c r="E193" s="10">
        <v>6200</v>
      </c>
      <c r="F193" s="10">
        <v>6050</v>
      </c>
      <c r="G193" s="9" t="s">
        <v>7</v>
      </c>
      <c r="H193" s="11" t="s">
        <v>164</v>
      </c>
    </row>
    <row r="194" spans="1:8" ht="26.25" customHeight="1" x14ac:dyDescent="0.25">
      <c r="A194" s="11"/>
      <c r="B194" s="24" t="s">
        <v>346</v>
      </c>
      <c r="C194" s="9">
        <v>1</v>
      </c>
      <c r="D194" s="30" t="s">
        <v>55</v>
      </c>
      <c r="E194" s="10">
        <v>6200</v>
      </c>
      <c r="F194" s="10">
        <v>6050</v>
      </c>
      <c r="G194" s="9" t="s">
        <v>7</v>
      </c>
      <c r="H194" s="11" t="s">
        <v>164</v>
      </c>
    </row>
    <row r="195" spans="1:8" ht="26.25" customHeight="1" x14ac:dyDescent="0.25">
      <c r="A195" s="11"/>
      <c r="B195" s="24" t="s">
        <v>342</v>
      </c>
      <c r="C195" s="9">
        <v>1</v>
      </c>
      <c r="D195" s="30" t="s">
        <v>55</v>
      </c>
      <c r="E195" s="10">
        <v>6200</v>
      </c>
      <c r="F195" s="10">
        <v>6050</v>
      </c>
      <c r="G195" s="9" t="s">
        <v>7</v>
      </c>
      <c r="H195" s="11" t="s">
        <v>164</v>
      </c>
    </row>
    <row r="196" spans="1:8" ht="26.25" customHeight="1" x14ac:dyDescent="0.25">
      <c r="A196" s="11"/>
      <c r="B196" s="24" t="s">
        <v>344</v>
      </c>
      <c r="C196" s="9">
        <v>1</v>
      </c>
      <c r="D196" s="30" t="s">
        <v>55</v>
      </c>
      <c r="E196" s="10">
        <v>6200</v>
      </c>
      <c r="F196" s="10">
        <v>6050</v>
      </c>
      <c r="G196" s="9" t="s">
        <v>7</v>
      </c>
      <c r="H196" s="11" t="s">
        <v>164</v>
      </c>
    </row>
    <row r="197" spans="1:8" ht="26.25" customHeight="1" x14ac:dyDescent="0.25">
      <c r="A197" s="15"/>
      <c r="B197" s="26" t="s">
        <v>345</v>
      </c>
      <c r="C197" s="9">
        <v>1</v>
      </c>
      <c r="D197" s="30" t="s">
        <v>55</v>
      </c>
      <c r="E197" s="10">
        <v>6200</v>
      </c>
      <c r="F197" s="10">
        <v>6050</v>
      </c>
      <c r="G197" s="9" t="s">
        <v>7</v>
      </c>
      <c r="H197" s="11" t="s">
        <v>164</v>
      </c>
    </row>
  </sheetData>
  <phoneticPr fontId="8" type="noConversion"/>
  <pageMargins left="0.5" right="0.25" top="1.3" bottom="0.75" header="0.5" footer="0.25"/>
  <pageSetup paperSize="9" orientation="portrait" verticalDpi="0" r:id="rId1"/>
  <headerFooter>
    <oddHeader>&amp;C&amp;"Aptos,Bold"&amp;16GTM - Distribution (Product Catalog)</oddHeader>
    <oddFooter>&amp;C&amp;"-,Bold"&amp;14"Quality is our priority."&amp;R&amp;P</oddFooter>
  </headerFooter>
  <rowBreaks count="6" manualBreakCount="6">
    <brk id="12" max="16383" man="1"/>
    <brk id="29" max="16383" man="1"/>
    <brk id="51" max="16383" man="1"/>
    <brk id="94" max="16383" man="1"/>
    <brk id="125" max="16383" man="1"/>
    <brk id="129" max="16383" man="1"/>
  </row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4BE3EC-1A9A-40D6-AAD5-366078805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Overview Dashboard</vt:lpstr>
      <vt:lpstr>Product Catalog</vt:lpstr>
      <vt:lpstr>Old Product Catalog</vt:lpstr>
      <vt:lpstr>'Old Product Catalog'!Print_Titles</vt:lpstr>
      <vt:lpstr>'Product Catalog'!Print_Titles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GTM Finance</cp:lastModifiedBy>
  <cp:lastPrinted>2026-07-22T08:56:01Z</cp:lastPrinted>
  <dcterms:created xsi:type="dcterms:W3CDTF">2026-07-20T04:26:34Z</dcterms:created>
  <dcterms:modified xsi:type="dcterms:W3CDTF">2026-07-23T10:18:58Z</dcterms:modified>
</cp:coreProperties>
</file>